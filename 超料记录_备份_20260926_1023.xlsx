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  <sheet name="超料月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超料月统计!$H$1</f>
              <strCache>
                <ptCount val="1"/>
                <pt idx="0">
                  <v>超料材料占比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超料月统计!$A$2:$A$10</f>
              <strCache>
                <ptCount val="9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</strCache>
            </strRef>
          </cat>
          <val>
            <numRef>
              <f>超料月统计!$H$2:$H$10</f>
              <numCache>
                <formatCode>0.00%</formatCode>
                <ptCount val="9"/>
                <pt idx="0">
                  <v>0.02613382353673289</v>
                </pt>
                <pt idx="1">
                  <v>0.02628990594524487</v>
                </pt>
                <pt idx="2">
                  <v>0.03200548995732499</v>
                </pt>
                <pt idx="3">
                  <v>0.03179429049773306</v>
                </pt>
                <pt idx="4">
                  <v>0.03412080606039153</v>
                </pt>
                <pt idx="5">
                  <v>0.02691982276934857</v>
                </pt>
                <pt idx="6">
                  <v>0.03045981585438491</v>
                </pt>
                <pt idx="7">
                  <v>0.01893143291164597</v>
                </pt>
                <pt idx="8">
                  <v>0.01315448279686996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511248816"/>
        <axId val="238500816"/>
      </barChart>
      <catAx>
        <axId val="51124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38500816"/>
        <crosses val="autoZero"/>
        <auto val="1"/>
        <lblAlgn val="ctr"/>
        <lblOffset val="100"/>
        <noMultiLvlLbl val="0"/>
      </catAx>
      <valAx>
        <axId val="2385008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5112488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385762</colOff>
      <row>1</row>
      <rowOff>28581</rowOff>
    </from>
    <to>
      <col>17</col>
      <colOff>157162</colOff>
      <row>10</row>
      <rowOff>228606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3"/>
  <sheetViews>
    <sheetView tabSelected="1" workbookViewId="0">
      <pane ySplit="1" topLeftCell="A2" activePane="bottomLeft" state="frozen"/>
      <selection pane="bottomLeft" activeCell="M4" sqref="M4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22"/>
    <col width="9" customWidth="1" style="1" min="23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n">
        <v>0</v>
      </c>
      <c r="I2" s="17" t="n"/>
      <c r="J2" s="10" t="n"/>
      <c r="K2" s="19" t="n"/>
      <c r="L2" s="11" t="n"/>
      <c r="M2" s="21" t="n"/>
      <c r="N2" s="12" t="n">
        <v>93.5</v>
      </c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n">
        <v>0</v>
      </c>
      <c r="I3" s="17" t="n">
        <v>46231</v>
      </c>
      <c r="J3" s="10" t="n">
        <v>10.4</v>
      </c>
      <c r="K3" s="19" t="n"/>
      <c r="L3" s="11" t="n"/>
      <c r="M3" s="21" t="n"/>
      <c r="N3" s="12" t="n">
        <v>10.4</v>
      </c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n">
        <v>0</v>
      </c>
      <c r="I4" s="17" t="n">
        <v>46256</v>
      </c>
      <c r="J4" s="10" t="n">
        <v>171.07</v>
      </c>
      <c r="K4" s="19" t="n"/>
      <c r="L4" s="11" t="n"/>
      <c r="M4" s="21" t="n"/>
      <c r="N4" s="12" t="n">
        <v>187.83</v>
      </c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n">
        <v>0</v>
      </c>
      <c r="I5" s="17" t="n"/>
      <c r="J5" s="10" t="n"/>
      <c r="K5" s="19" t="n"/>
      <c r="L5" s="11" t="n"/>
      <c r="M5" s="21" t="n"/>
      <c r="N5" s="12" t="n">
        <v>151.37</v>
      </c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n">
        <v>0</v>
      </c>
      <c r="I6" s="17" t="n">
        <v>46260</v>
      </c>
      <c r="J6" s="10" t="n">
        <v>96.67</v>
      </c>
      <c r="K6" s="19" t="n"/>
      <c r="L6" s="11" t="n"/>
      <c r="M6" s="21" t="n"/>
      <c r="N6" s="12" t="n">
        <v>103.15</v>
      </c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inlineStr">
        <is>
          <t>-</t>
        </is>
      </c>
      <c r="I7" s="17" t="n">
        <v>46252</v>
      </c>
      <c r="J7" s="10" t="inlineStr">
        <is>
          <t>-</t>
        </is>
      </c>
      <c r="K7" s="19" t="n"/>
      <c r="L7" s="11" t="n"/>
      <c r="M7" s="21" t="n"/>
      <c r="N7" s="12" t="inlineStr">
        <is>
          <t>-</t>
        </is>
      </c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0</v>
      </c>
      <c r="I8" s="17" t="n"/>
      <c r="J8" s="10" t="n"/>
      <c r="K8" s="19" t="n"/>
      <c r="L8" s="11" t="n"/>
      <c r="M8" s="21" t="n"/>
      <c r="N8" s="12" t="n">
        <v>785.53</v>
      </c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n">
        <v>0</v>
      </c>
      <c r="I9" s="17" t="n">
        <v>46245</v>
      </c>
      <c r="J9" s="10" t="n">
        <v>70.59999999999999</v>
      </c>
      <c r="K9" s="19" t="n"/>
      <c r="L9" s="11" t="n"/>
      <c r="M9" s="21" t="n"/>
      <c r="N9" s="12" t="n">
        <v>70.59999999999999</v>
      </c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n">
        <v>0</v>
      </c>
      <c r="I10" s="17" t="n">
        <v>46247</v>
      </c>
      <c r="J10" s="10" t="n">
        <v>0.39</v>
      </c>
      <c r="K10" s="19" t="n"/>
      <c r="L10" s="11" t="n"/>
      <c r="M10" s="21" t="n"/>
      <c r="N10" s="12" t="n">
        <v>0.39</v>
      </c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n">
        <v>0</v>
      </c>
      <c r="I11" s="17" t="n"/>
      <c r="J11" s="10" t="n"/>
      <c r="K11" s="19" t="n"/>
      <c r="L11" s="11" t="n"/>
      <c r="M11" s="21" t="n"/>
      <c r="N11" s="12" t="n">
        <v>28.36</v>
      </c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n">
        <v>66.15000000000001</v>
      </c>
      <c r="I12" s="17" t="n">
        <v>46251</v>
      </c>
      <c r="J12" s="10" t="n">
        <v>755</v>
      </c>
      <c r="K12" s="19" t="n"/>
      <c r="L12" s="11" t="n"/>
      <c r="M12" s="21" t="n"/>
      <c r="N12" s="12" t="n">
        <v>778.29</v>
      </c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n">
        <v>0</v>
      </c>
      <c r="I13" s="17" t="n"/>
      <c r="J13" s="10" t="n"/>
      <c r="K13" s="19" t="n"/>
      <c r="L13" s="11" t="n"/>
      <c r="M13" s="21" t="n"/>
      <c r="N13" s="12" t="n">
        <v>446.67</v>
      </c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n">
        <v>0</v>
      </c>
      <c r="I14" s="17" t="n">
        <v>46251</v>
      </c>
      <c r="J14" s="10" t="n">
        <v>261.36</v>
      </c>
      <c r="K14" s="19" t="n"/>
      <c r="L14" s="11" t="n"/>
      <c r="M14" s="21" t="n"/>
      <c r="N14" s="12" t="n">
        <v>286.91</v>
      </c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n">
        <v>0</v>
      </c>
      <c r="I15" s="17" t="n">
        <v>46247</v>
      </c>
      <c r="J15" s="10" t="n">
        <v>0.52</v>
      </c>
      <c r="K15" s="19" t="n"/>
      <c r="L15" s="11" t="n"/>
      <c r="M15" s="21" t="n"/>
      <c r="N15" s="12" t="n">
        <v>187.64</v>
      </c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>
        <v>7115.46</v>
      </c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n">
        <v>0</v>
      </c>
      <c r="I17" s="17" t="n">
        <v>46237</v>
      </c>
      <c r="J17" s="10" t="n">
        <v>106.74</v>
      </c>
      <c r="K17" s="19" t="n"/>
      <c r="L17" s="11" t="n"/>
      <c r="M17" s="21" t="n"/>
      <c r="N17" s="12" t="n">
        <v>106.74</v>
      </c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n">
        <v>1303.8</v>
      </c>
      <c r="I18" s="17" t="n"/>
      <c r="J18" s="10" t="n"/>
      <c r="K18" s="19" t="n"/>
      <c r="L18" s="11" t="n"/>
      <c r="M18" s="21" t="n"/>
      <c r="N18" s="12" t="n">
        <v>1588.45</v>
      </c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n">
        <v>369.89</v>
      </c>
      <c r="I19" s="17" t="n"/>
      <c r="J19" s="10" t="n"/>
      <c r="K19" s="19" t="n"/>
      <c r="L19" s="11" t="n"/>
      <c r="M19" s="21" t="n"/>
      <c r="N19" s="12" t="n">
        <v>3937.95</v>
      </c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n">
        <v>0</v>
      </c>
      <c r="I20" s="17" t="n">
        <v>46254</v>
      </c>
      <c r="J20" s="10" t="n">
        <v>343.22</v>
      </c>
      <c r="K20" s="19" t="n"/>
      <c r="L20" s="11" t="n"/>
      <c r="M20" s="21" t="n"/>
      <c r="N20" s="12" t="n">
        <v>351.42</v>
      </c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n">
        <v>0</v>
      </c>
      <c r="I21" s="17" t="n">
        <v>46253</v>
      </c>
      <c r="J21" s="10" t="n">
        <v>0</v>
      </c>
      <c r="K21" s="19" t="n">
        <v>46262</v>
      </c>
      <c r="L21" s="11" t="n">
        <v>15.54</v>
      </c>
      <c r="M21" s="21" t="n"/>
      <c r="N21" s="12" t="n">
        <v>15.54</v>
      </c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n">
        <v>0</v>
      </c>
      <c r="I22" s="17" t="n">
        <v>46251</v>
      </c>
      <c r="J22" s="10" t="n">
        <v>38.14</v>
      </c>
      <c r="K22" s="19" t="n"/>
      <c r="L22" s="11" t="n"/>
      <c r="M22" s="21" t="n"/>
      <c r="N22" s="12" t="n">
        <v>38.14</v>
      </c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n">
        <v>0</v>
      </c>
      <c r="I23" s="17" t="n"/>
      <c r="J23" s="10" t="n"/>
      <c r="K23" s="19" t="n"/>
      <c r="L23" s="11" t="n"/>
      <c r="M23" s="21" t="n"/>
      <c r="N23" s="12" t="n">
        <v>41.08</v>
      </c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inlineStr">
        <is>
          <t>-</t>
        </is>
      </c>
    </row>
    <row r="25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2" t="n">
        <v>46272</v>
      </c>
      <c r="G25" s="14" t="n">
        <v>46239</v>
      </c>
      <c r="H25" s="9" t="n">
        <v>0</v>
      </c>
      <c r="I25" s="17" t="n"/>
      <c r="J25" s="10" t="n"/>
      <c r="K25" s="19" t="n"/>
      <c r="L25" s="11" t="n"/>
      <c r="M25" s="21" t="n"/>
      <c r="N25" s="12" t="n">
        <v>639.1900000000001</v>
      </c>
    </row>
    <row r="26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2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21" t="n"/>
      <c r="N26" s="12" t="n">
        <v>577.3</v>
      </c>
    </row>
    <row r="27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2" t="n">
        <v>46272</v>
      </c>
      <c r="G27" s="14" t="n">
        <v>46233</v>
      </c>
      <c r="H27" s="9" t="n">
        <v>0</v>
      </c>
      <c r="I27" s="17" t="n"/>
      <c r="J27" s="10" t="n"/>
      <c r="K27" s="19" t="n"/>
      <c r="L27" s="11" t="n"/>
      <c r="M27" s="21" t="n"/>
      <c r="N27" s="12" t="n">
        <v>40.48</v>
      </c>
    </row>
    <row r="28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2" t="n">
        <v>46272</v>
      </c>
      <c r="G28" s="14" t="n">
        <v>46241</v>
      </c>
      <c r="H28" s="9" t="n">
        <v>0</v>
      </c>
      <c r="I28" s="17" t="n"/>
      <c r="J28" s="10" t="n"/>
      <c r="K28" s="19" t="n"/>
      <c r="L28" s="11" t="n"/>
      <c r="M28" s="21" t="n"/>
      <c r="N28" s="12" t="n">
        <v>319.07</v>
      </c>
    </row>
    <row r="29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2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21" t="n"/>
      <c r="N29" s="12" t="n">
        <v>11323.98</v>
      </c>
    </row>
    <row r="30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2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21" t="n"/>
      <c r="N30" s="12" t="n">
        <v>6311.16</v>
      </c>
    </row>
    <row r="3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2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21" t="n"/>
      <c r="N31" s="12" t="n">
        <v>440.01</v>
      </c>
    </row>
    <row r="32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2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21" t="n"/>
      <c r="N32" s="12" t="n">
        <v>1178.54</v>
      </c>
    </row>
    <row r="33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2" t="n">
        <v>46272</v>
      </c>
      <c r="G33" s="14" t="n">
        <v>46232</v>
      </c>
      <c r="H33" s="9" t="n">
        <v>0</v>
      </c>
      <c r="I33" s="17" t="n"/>
      <c r="J33" s="10" t="n"/>
      <c r="K33" s="19" t="n"/>
      <c r="L33" s="11" t="n"/>
      <c r="M33" s="21" t="n"/>
      <c r="N33" s="12" t="n">
        <v>38.38</v>
      </c>
    </row>
    <row r="34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2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21" t="n"/>
      <c r="N34" s="12" t="n">
        <v>462.98</v>
      </c>
    </row>
    <row r="35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21" t="n"/>
      <c r="N35" s="12" t="n">
        <v>828.46</v>
      </c>
    </row>
    <row r="36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2" t="n">
        <v>46275</v>
      </c>
      <c r="G36" s="14" t="n">
        <v>46232</v>
      </c>
      <c r="H36" s="9" t="n">
        <v>0</v>
      </c>
      <c r="I36" s="17" t="n">
        <v>46262</v>
      </c>
      <c r="J36" s="10" t="n">
        <v>23.3</v>
      </c>
      <c r="K36" s="19" t="n">
        <v>46265</v>
      </c>
      <c r="L36" s="11" t="n">
        <v>35.02</v>
      </c>
      <c r="M36" s="21" t="n"/>
      <c r="N36" s="12" t="n">
        <v>38.15</v>
      </c>
    </row>
    <row r="37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2" t="n">
        <v>46275</v>
      </c>
      <c r="G37" s="14" t="n">
        <v>46233</v>
      </c>
      <c r="H37" s="9" t="n">
        <v>0</v>
      </c>
      <c r="I37" s="17" t="n">
        <v>46252</v>
      </c>
      <c r="J37" s="10" t="n">
        <v>25.48</v>
      </c>
      <c r="K37" s="19" t="n"/>
      <c r="L37" s="11" t="n"/>
      <c r="M37" s="21" t="n"/>
      <c r="N37" s="12" t="n">
        <v>25.48</v>
      </c>
    </row>
    <row r="38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2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21" t="n"/>
      <c r="N38" s="12" t="inlineStr">
        <is>
          <t>-</t>
        </is>
      </c>
    </row>
    <row r="39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2" t="n">
        <v>46275</v>
      </c>
      <c r="G39" s="14" t="n">
        <v>46260</v>
      </c>
      <c r="H39" s="9" t="n">
        <v>0</v>
      </c>
      <c r="I39" s="17" t="n">
        <v>46269</v>
      </c>
      <c r="J39" s="10" t="n">
        <v>22.35</v>
      </c>
      <c r="K39" s="19" t="n"/>
      <c r="L39" s="11" t="n"/>
      <c r="M39" s="21" t="n"/>
      <c r="N39" s="12" t="n">
        <v>47.63</v>
      </c>
    </row>
    <row r="40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2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21" t="n"/>
      <c r="N40" s="12" t="n">
        <v>15.5</v>
      </c>
    </row>
    <row r="4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2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21" t="n"/>
      <c r="N41" s="12" t="n">
        <v>56.89</v>
      </c>
    </row>
    <row r="42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2" t="n">
        <v>46275</v>
      </c>
      <c r="G42" s="14" t="n">
        <v>46263</v>
      </c>
      <c r="H42" s="9" t="n">
        <v>56.18</v>
      </c>
      <c r="I42" s="17" t="n"/>
      <c r="J42" s="10" t="n"/>
      <c r="K42" s="19" t="n"/>
      <c r="L42" s="11" t="n"/>
      <c r="M42" s="21" t="n"/>
      <c r="N42" s="12" t="n">
        <v>198.22</v>
      </c>
    </row>
    <row r="43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2" t="n">
        <v>46279</v>
      </c>
      <c r="G43" s="14" t="n">
        <v>46258</v>
      </c>
      <c r="H43" s="9" t="n">
        <v>0</v>
      </c>
      <c r="I43" s="17" t="n">
        <v>46280</v>
      </c>
      <c r="J43" s="10" t="n">
        <v>8.460000000000001</v>
      </c>
      <c r="K43" s="19" t="n"/>
      <c r="L43" s="11" t="n"/>
      <c r="M43" s="21" t="n"/>
      <c r="N43" s="12" t="n">
        <v>14.44</v>
      </c>
    </row>
    <row r="44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2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21" t="n"/>
      <c r="N44" s="12" t="n">
        <v>16.43</v>
      </c>
    </row>
    <row r="45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2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21" t="n"/>
      <c r="N45" s="12" t="n">
        <v>66.58</v>
      </c>
    </row>
    <row r="46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2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21" t="n"/>
      <c r="N46" s="12" t="n">
        <v>24.41</v>
      </c>
    </row>
    <row r="47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2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21" t="n"/>
      <c r="N47" s="12" t="n">
        <v>15.6</v>
      </c>
    </row>
    <row r="48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2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21" t="n"/>
      <c r="N48" s="12" t="inlineStr">
        <is>
          <t>-</t>
        </is>
      </c>
    </row>
    <row r="49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2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21" t="n"/>
      <c r="N49" s="12" t="n">
        <v>17.42</v>
      </c>
    </row>
    <row r="50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2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21" t="n"/>
      <c r="N50" s="12" t="inlineStr">
        <is>
          <t>-</t>
        </is>
      </c>
    </row>
    <row r="5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2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21" t="n"/>
      <c r="N51" s="12" t="n">
        <v>56.25</v>
      </c>
    </row>
    <row r="52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2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21" t="n"/>
      <c r="N52" s="12" t="n">
        <v>40.82</v>
      </c>
    </row>
    <row r="53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2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21" t="n"/>
      <c r="N53" s="12" t="n">
        <v>130.4</v>
      </c>
    </row>
    <row r="54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2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21" t="n"/>
      <c r="N54" s="12" t="n">
        <v>98.19</v>
      </c>
    </row>
    <row r="55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2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21" t="n"/>
      <c r="N55" s="12" t="n">
        <v>26.28</v>
      </c>
    </row>
    <row r="56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2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21" t="n"/>
      <c r="N56" s="12" t="n">
        <v>31.39</v>
      </c>
    </row>
    <row r="57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2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21" t="n"/>
      <c r="N57" s="12" t="n">
        <v>107.58</v>
      </c>
    </row>
    <row r="58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2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21" t="n"/>
      <c r="N58" s="12" t="n">
        <v>48.67</v>
      </c>
    </row>
    <row r="59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2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21" t="n"/>
      <c r="N59" s="12" t="inlineStr">
        <is>
          <t>-</t>
        </is>
      </c>
    </row>
    <row r="60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2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21" t="n"/>
      <c r="N60" s="12" t="inlineStr">
        <is>
          <t>-</t>
        </is>
      </c>
    </row>
    <row r="6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2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21" t="n"/>
      <c r="N61" s="12" t="inlineStr">
        <is>
          <t>-</t>
        </is>
      </c>
    </row>
    <row r="62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2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21" t="n"/>
      <c r="N62" s="12" t="inlineStr">
        <is>
          <t>-</t>
        </is>
      </c>
    </row>
    <row r="63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21" t="n"/>
      <c r="N63" s="12" t="inlineStr">
        <is>
          <t>-</t>
        </is>
      </c>
    </row>
    <row r="64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2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21" t="n"/>
      <c r="N64" s="12" t="inlineStr">
        <is>
          <t>-</t>
        </is>
      </c>
    </row>
    <row r="65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21" t="n"/>
      <c r="N65" s="12" t="inlineStr">
        <is>
          <t>-</t>
        </is>
      </c>
    </row>
    <row r="66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2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21" t="n"/>
      <c r="N66" s="12" t="inlineStr">
        <is>
          <t>-</t>
        </is>
      </c>
    </row>
    <row r="67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2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21" t="n"/>
      <c r="N67" s="12" t="n">
        <v>46.6</v>
      </c>
    </row>
    <row r="68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2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21" t="n"/>
      <c r="N68" s="12" t="inlineStr">
        <is>
          <t>-</t>
        </is>
      </c>
    </row>
    <row r="69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2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21" t="n"/>
      <c r="N69" s="12" t="inlineStr">
        <is>
          <t>-</t>
        </is>
      </c>
    </row>
    <row r="70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2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21" t="n"/>
      <c r="N70" s="12" t="inlineStr">
        <is>
          <t>-</t>
        </is>
      </c>
    </row>
    <row r="7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2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21" t="n"/>
      <c r="N71" s="12" t="inlineStr">
        <is>
          <t>-</t>
        </is>
      </c>
    </row>
    <row r="72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2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21" t="n"/>
      <c r="N72" s="12" t="n">
        <v>27.45</v>
      </c>
    </row>
    <row r="73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2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21" t="n"/>
      <c r="N73" s="12" t="n">
        <v>6.24</v>
      </c>
    </row>
    <row r="74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2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21" t="n"/>
      <c r="N74" s="12" t="n">
        <v>63.61</v>
      </c>
    </row>
    <row r="75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2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21" t="n"/>
      <c r="N75" s="12" t="n">
        <v>7.78</v>
      </c>
    </row>
    <row r="76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2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21" t="n"/>
      <c r="N76" s="12" t="n">
        <v>37.87</v>
      </c>
    </row>
    <row r="77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2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21" t="n"/>
      <c r="N77" s="12" t="inlineStr">
        <is>
          <t>-</t>
        </is>
      </c>
    </row>
    <row r="78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2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21" t="n"/>
      <c r="N78" s="12" t="inlineStr">
        <is>
          <t>-</t>
        </is>
      </c>
    </row>
    <row r="79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2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21" t="n"/>
      <c r="N79" s="12" t="n">
        <v>6.24</v>
      </c>
    </row>
    <row r="80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2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21" t="n"/>
      <c r="N80" s="12" t="inlineStr">
        <is>
          <t>-</t>
        </is>
      </c>
    </row>
    <row r="8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2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21" t="n"/>
      <c r="N81" s="12" t="inlineStr">
        <is>
          <t>-</t>
        </is>
      </c>
    </row>
    <row r="82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2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21" t="n"/>
      <c r="N82" s="12" t="n">
        <v>63.98</v>
      </c>
    </row>
    <row r="83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2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21" t="n"/>
      <c r="N83" s="12" t="n">
        <v>708.13</v>
      </c>
    </row>
    <row r="84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2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21" t="n"/>
      <c r="N84" s="12" t="n">
        <v>78.73999999999999</v>
      </c>
    </row>
    <row r="85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2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21" t="n"/>
      <c r="N85" s="12" t="n">
        <v>33.11</v>
      </c>
    </row>
    <row r="86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2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21" t="n"/>
      <c r="N86" s="12" t="inlineStr">
        <is>
          <t>-</t>
        </is>
      </c>
    </row>
    <row r="87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2" t="n">
        <v>46279</v>
      </c>
      <c r="G87" s="14" t="n">
        <v>46244</v>
      </c>
      <c r="H87" s="9" t="n">
        <v>0</v>
      </c>
      <c r="I87" s="17" t="n">
        <v>46254</v>
      </c>
      <c r="J87" s="10" t="n">
        <v>0</v>
      </c>
      <c r="K87" s="19" t="n"/>
      <c r="L87" s="11" t="n"/>
      <c r="M87" s="21" t="n"/>
      <c r="N87" s="12" t="n">
        <v>27.42</v>
      </c>
    </row>
    <row r="88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2" t="n">
        <v>46279</v>
      </c>
      <c r="G88" s="14" t="n">
        <v>46239</v>
      </c>
      <c r="H88" s="9" t="n">
        <v>84.19</v>
      </c>
      <c r="I88" s="17" t="n">
        <v>46248</v>
      </c>
      <c r="J88" s="10" t="n">
        <v>89.62</v>
      </c>
      <c r="K88" s="19" t="n"/>
      <c r="L88" s="11" t="n"/>
      <c r="M88" s="21" t="n"/>
      <c r="N88" s="12" t="n">
        <v>89.68000000000001</v>
      </c>
    </row>
    <row r="89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2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21" t="n"/>
      <c r="N89" s="12" t="inlineStr">
        <is>
          <t>-</t>
        </is>
      </c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2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21" t="n"/>
      <c r="N90" s="12" t="n">
        <v>6.73</v>
      </c>
    </row>
    <row r="9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2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21" t="n"/>
      <c r="N91" s="12" t="n">
        <v>127.31</v>
      </c>
    </row>
    <row r="92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2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21" t="n"/>
      <c r="N92" s="12" t="n">
        <v>14.05</v>
      </c>
    </row>
    <row r="93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2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21" t="n"/>
      <c r="N93" s="12" t="inlineStr">
        <is>
          <t>-</t>
        </is>
      </c>
    </row>
    <row r="94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21" t="n"/>
      <c r="N94" s="12" t="inlineStr">
        <is>
          <t>-</t>
        </is>
      </c>
    </row>
    <row r="95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2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21" t="n"/>
      <c r="N95" s="12" t="inlineStr">
        <is>
          <t>-</t>
        </is>
      </c>
    </row>
    <row r="96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2" t="n">
        <v>46280</v>
      </c>
      <c r="G96" s="14" t="n">
        <v>46246</v>
      </c>
      <c r="H96" s="9" t="n">
        <v>422.51</v>
      </c>
      <c r="I96" s="17" t="n">
        <v>46261</v>
      </c>
      <c r="J96" s="10" t="n">
        <v>2662.6</v>
      </c>
      <c r="K96" s="19" t="n"/>
      <c r="L96" s="11" t="n"/>
      <c r="M96" s="21" t="n"/>
      <c r="N96" s="12" t="n">
        <v>2793.97</v>
      </c>
    </row>
    <row r="97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2" t="n">
        <v>46284</v>
      </c>
      <c r="G97" s="14" t="n">
        <v>46244</v>
      </c>
      <c r="H97" s="9" t="n">
        <v>0</v>
      </c>
      <c r="I97" s="17" t="n">
        <v>46253</v>
      </c>
      <c r="J97" s="10" t="n">
        <v>0</v>
      </c>
      <c r="K97" s="19" t="n"/>
      <c r="L97" s="11" t="n"/>
      <c r="M97" s="21" t="n"/>
      <c r="N97" s="12" t="n">
        <v>15.59</v>
      </c>
    </row>
    <row r="98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2" t="n">
        <v>46286</v>
      </c>
      <c r="G98" s="14" t="n">
        <v>46244</v>
      </c>
      <c r="H98" s="9" t="n">
        <v>0</v>
      </c>
      <c r="I98" s="17" t="n">
        <v>46254</v>
      </c>
      <c r="J98" s="10" t="n">
        <v>15.54</v>
      </c>
      <c r="K98" s="19" t="n"/>
      <c r="L98" s="11" t="n"/>
      <c r="M98" s="21" t="n"/>
      <c r="N98" s="12" t="n">
        <v>15.54</v>
      </c>
    </row>
    <row r="99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2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21" t="n"/>
      <c r="N99" s="12" t="n">
        <v>55.08</v>
      </c>
    </row>
    <row r="100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2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21" t="n"/>
      <c r="N100" s="12" t="n">
        <v>13.28</v>
      </c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2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21" t="n"/>
      <c r="N101" s="12" t="n">
        <v>283.71</v>
      </c>
    </row>
    <row r="102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2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21" t="n"/>
      <c r="N102" s="12" t="inlineStr">
        <is>
          <t>-</t>
        </is>
      </c>
    </row>
    <row r="103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2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21" t="n"/>
      <c r="N103" s="12" t="n">
        <v>46.03</v>
      </c>
    </row>
    <row r="104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2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21" t="n"/>
      <c r="N104" s="12" t="inlineStr">
        <is>
          <t>-</t>
        </is>
      </c>
    </row>
    <row r="105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2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21" t="n"/>
      <c r="N105" s="12" t="n">
        <v>7.87</v>
      </c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2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21" t="n"/>
      <c r="N106" s="12" t="n">
        <v>221.3</v>
      </c>
    </row>
    <row r="107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2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21" t="n"/>
      <c r="N107" s="12" t="n">
        <v>23.6</v>
      </c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21" t="n"/>
      <c r="N108" s="12" t="n">
        <v>155.74</v>
      </c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21" t="n"/>
      <c r="N109" s="12" t="n">
        <v>86.73999999999999</v>
      </c>
    </row>
    <row r="110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2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21" t="n"/>
      <c r="N110" s="12" t="n">
        <v>29.29</v>
      </c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2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21" t="n"/>
      <c r="N111" s="12" t="n">
        <v>60.76</v>
      </c>
    </row>
    <row r="112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>
        <v>11.47</v>
      </c>
    </row>
    <row r="113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2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21" t="n"/>
      <c r="N113" s="12" t="inlineStr">
        <is>
          <t>-</t>
        </is>
      </c>
    </row>
    <row r="114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2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21" t="n"/>
      <c r="N114" s="12" t="n">
        <v>6.04</v>
      </c>
    </row>
    <row r="115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2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21" t="n"/>
      <c r="N115" s="12" t="n">
        <v>1058.8</v>
      </c>
    </row>
    <row r="116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2" t="n">
        <v>46286</v>
      </c>
      <c r="G116" s="14" t="n">
        <v>46244</v>
      </c>
      <c r="H116" s="9" t="n">
        <v>0</v>
      </c>
      <c r="I116" s="17" t="n"/>
      <c r="J116" s="10" t="n"/>
      <c r="K116" s="19" t="n"/>
      <c r="L116" s="11" t="n"/>
      <c r="M116" s="21" t="n"/>
      <c r="N116" s="12" t="n">
        <v>15.61</v>
      </c>
    </row>
    <row r="117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2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21" t="n"/>
      <c r="N117" s="12" t="n">
        <v>1547.5</v>
      </c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>
        <v>0</v>
      </c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>
        <v>775.95</v>
      </c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303.65</v>
      </c>
      <c r="K120" s="19" t="n"/>
      <c r="L120" s="11" t="n"/>
      <c r="M120" s="21" t="n"/>
      <c r="N120" s="12" t="n">
        <v>303.65</v>
      </c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205.06</v>
      </c>
      <c r="I121" s="17" t="n"/>
      <c r="J121" s="10" t="n"/>
      <c r="K121" s="19" t="n"/>
      <c r="L121" s="11" t="n"/>
      <c r="M121" s="21" t="n"/>
      <c r="N121" s="12" t="n">
        <v>356.24</v>
      </c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>
        <v>1185.01</v>
      </c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inlineStr">
        <is>
          <t>-</t>
        </is>
      </c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>
        <v>141.38</v>
      </c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>
        <v>198.24</v>
      </c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inlineStr">
        <is>
          <t>-</t>
        </is>
      </c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>
        <v>65.41</v>
      </c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>
        <v>44.19</v>
      </c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>
        <v>99.09</v>
      </c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>
        <v>49</v>
      </c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>
        <v>71.98999999999999</v>
      </c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>
        <v>209.44</v>
      </c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>
        <v>78.26000000000001</v>
      </c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inlineStr">
        <is>
          <t>-</t>
        </is>
      </c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inlineStr">
        <is>
          <t>-</t>
        </is>
      </c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>
        <v>31.27</v>
      </c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>
        <v>45.89</v>
      </c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146.47</v>
      </c>
      <c r="I138" s="17" t="n"/>
      <c r="J138" s="10" t="n"/>
      <c r="K138" s="19" t="n"/>
      <c r="L138" s="11" t="n"/>
      <c r="M138" s="21" t="n"/>
      <c r="N138" s="12" t="n">
        <v>261.07</v>
      </c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>
        <v>26.62</v>
      </c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>
        <v>30.84</v>
      </c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>
        <v>0</v>
      </c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15.95</v>
      </c>
      <c r="K142" s="19" t="n">
        <v>46279</v>
      </c>
      <c r="L142" s="11" t="n">
        <v>49.65</v>
      </c>
      <c r="M142" s="21" t="n"/>
      <c r="N142" s="12" t="n">
        <v>49.65</v>
      </c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>
        <v>100.52</v>
      </c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inlineStr">
        <is>
          <t>-</t>
        </is>
      </c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>
        <v>111.49</v>
      </c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>
        <v>0.25</v>
      </c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>
        <v>58.13</v>
      </c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n">
        <v>0</v>
      </c>
      <c r="I148" s="17" t="n">
        <v>46288</v>
      </c>
      <c r="J148" s="10" t="n">
        <v>0</v>
      </c>
      <c r="K148" s="19" t="n"/>
      <c r="L148" s="11" t="n"/>
      <c r="M148" s="21" t="n"/>
      <c r="N148" s="12" t="n">
        <v>32.84</v>
      </c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>
        <v>36.93</v>
      </c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n">
        <v>0</v>
      </c>
      <c r="I150" s="17" t="n"/>
      <c r="J150" s="10" t="n"/>
      <c r="K150" s="19" t="n"/>
      <c r="L150" s="11" t="n"/>
      <c r="M150" s="21" t="n"/>
      <c r="N150" s="12" t="n">
        <v>18.39</v>
      </c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>
        <v>7.78</v>
      </c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>
        <v>91.42</v>
      </c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>
        <v>31.91</v>
      </c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>
        <v>40.08</v>
      </c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inlineStr">
        <is>
          <t>-</t>
        </is>
      </c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>
        <v>18.11</v>
      </c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n">
        <v>0</v>
      </c>
      <c r="I157" s="17" t="n">
        <v>46262</v>
      </c>
      <c r="J157" s="10" t="n">
        <v>28.98</v>
      </c>
      <c r="K157" s="19" t="n"/>
      <c r="L157" s="11" t="n"/>
      <c r="M157" s="21" t="n"/>
      <c r="N157" s="12" t="n">
        <v>28.98</v>
      </c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inlineStr">
        <is>
          <t>-</t>
        </is>
      </c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inlineStr">
        <is>
          <t>-</t>
        </is>
      </c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inlineStr">
        <is>
          <t>-</t>
        </is>
      </c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inlineStr">
        <is>
          <t>-</t>
        </is>
      </c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>
        <v>46290</v>
      </c>
      <c r="J162" s="10" t="inlineStr">
        <is>
          <t>-</t>
        </is>
      </c>
      <c r="K162" s="19" t="n"/>
      <c r="L162" s="11" t="n"/>
      <c r="M162" s="21" t="n"/>
      <c r="N162" s="12" t="inlineStr">
        <is>
          <t>-</t>
        </is>
      </c>
    </row>
    <row r="163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2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21" t="n"/>
      <c r="N163" s="12" t="inlineStr">
        <is>
          <t>-</t>
        </is>
      </c>
    </row>
    <row r="164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2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inlineStr">
        <is>
          <t>-</t>
        </is>
      </c>
    </row>
    <row r="165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2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inlineStr">
        <is>
          <t>-</t>
        </is>
      </c>
    </row>
    <row r="166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2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inlineStr">
        <is>
          <t>-</t>
        </is>
      </c>
    </row>
    <row r="167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2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21" t="n"/>
      <c r="N167" s="12" t="inlineStr">
        <is>
          <t>-</t>
        </is>
      </c>
    </row>
    <row r="168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inlineStr">
        <is>
          <t>-</t>
        </is>
      </c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2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21" t="n"/>
      <c r="N169" s="12" t="n">
        <v>866.5</v>
      </c>
    </row>
    <row r="170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2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21" t="n"/>
      <c r="N170" s="12" t="n">
        <v>92.54000000000001</v>
      </c>
    </row>
    <row r="17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2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21" t="n"/>
      <c r="N171" s="12" t="inlineStr">
        <is>
          <t>-</t>
        </is>
      </c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2" t="n">
        <v>46300</v>
      </c>
      <c r="G172" s="14" t="n">
        <v>46286</v>
      </c>
      <c r="H172" s="9" t="n">
        <v>229.71</v>
      </c>
      <c r="I172" s="17" t="n"/>
      <c r="J172" s="10" t="n"/>
      <c r="K172" s="19" t="n"/>
      <c r="L172" s="11" t="n"/>
      <c r="M172" s="21" t="n"/>
      <c r="N172" s="12" t="n">
        <v>382.31</v>
      </c>
    </row>
    <row r="173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2" t="n">
        <v>46300</v>
      </c>
      <c r="G173" s="14" t="n">
        <v>46256</v>
      </c>
      <c r="H173" s="9" t="n">
        <v>0</v>
      </c>
      <c r="I173" s="17" t="n">
        <v>46286</v>
      </c>
      <c r="J173" s="10" t="n">
        <v>54.27</v>
      </c>
      <c r="K173" s="19" t="n"/>
      <c r="L173" s="11" t="n"/>
      <c r="M173" s="21" t="n"/>
      <c r="N173" s="12" t="n">
        <v>54.27</v>
      </c>
    </row>
    <row r="174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2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21" t="n"/>
      <c r="N174" s="12" t="inlineStr">
        <is>
          <t>-</t>
        </is>
      </c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2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21" t="n"/>
      <c r="N175" s="12" t="n">
        <v>2200.8</v>
      </c>
    </row>
    <row r="176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2" t="n">
        <v>46300</v>
      </c>
      <c r="G176" s="14" t="n">
        <v>46259</v>
      </c>
      <c r="H176" s="9" t="n">
        <v>0</v>
      </c>
      <c r="I176" s="17" t="n">
        <v>46284</v>
      </c>
      <c r="J176" s="10" t="n">
        <v>207.43</v>
      </c>
      <c r="K176" s="19" t="n"/>
      <c r="L176" s="11" t="n"/>
      <c r="M176" s="21" t="n"/>
      <c r="N176" s="12" t="n">
        <v>207.43</v>
      </c>
    </row>
    <row r="177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2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21" t="n"/>
      <c r="N177" s="12" t="inlineStr">
        <is>
          <t>-</t>
        </is>
      </c>
    </row>
    <row r="178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2" t="n">
        <v>46300</v>
      </c>
      <c r="G178" s="14" t="n">
        <v>46277</v>
      </c>
      <c r="H178" s="9" t="n">
        <v>57.25</v>
      </c>
      <c r="I178" s="17" t="n"/>
      <c r="J178" s="10" t="n"/>
      <c r="K178" s="19" t="n"/>
      <c r="L178" s="11" t="n"/>
      <c r="M178" s="21" t="n"/>
      <c r="N178" s="12" t="n">
        <v>57.25</v>
      </c>
    </row>
    <row r="179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2" t="n">
        <v>46300</v>
      </c>
      <c r="G179" s="14" t="n">
        <v>46274</v>
      </c>
      <c r="H179" s="9" t="n">
        <v>0</v>
      </c>
      <c r="I179" s="17" t="n"/>
      <c r="J179" s="10" t="n"/>
      <c r="K179" s="19" t="n"/>
      <c r="L179" s="11" t="n"/>
      <c r="M179" s="21" t="n"/>
      <c r="N179" s="12" t="n">
        <v>121.81</v>
      </c>
    </row>
    <row r="180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2" t="n">
        <v>46300</v>
      </c>
      <c r="G180" s="14" t="n">
        <v>46279</v>
      </c>
      <c r="H180" s="9" t="n">
        <v>93.41</v>
      </c>
      <c r="I180" s="17" t="n"/>
      <c r="J180" s="10" t="n"/>
      <c r="K180" s="19" t="n"/>
      <c r="L180" s="11" t="n"/>
      <c r="M180" s="21" t="n"/>
      <c r="N180" s="12" t="n">
        <v>93.41</v>
      </c>
    </row>
    <row r="18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2" t="n">
        <v>46300</v>
      </c>
      <c r="G181" s="14" t="n">
        <v>46281</v>
      </c>
      <c r="H181" s="9" t="n">
        <v>594.99</v>
      </c>
      <c r="I181" s="17" t="n"/>
      <c r="J181" s="10" t="n"/>
      <c r="K181" s="19" t="n"/>
      <c r="L181" s="11" t="n"/>
      <c r="M181" s="21" t="n"/>
      <c r="N181" s="12" t="n">
        <v>657.67</v>
      </c>
    </row>
    <row r="182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2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21" t="n"/>
      <c r="N182" s="12" t="n">
        <v>528.08</v>
      </c>
    </row>
    <row r="183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2" t="n">
        <v>46300</v>
      </c>
      <c r="G183" s="14" t="n">
        <v>46280</v>
      </c>
      <c r="H183" s="9" t="n">
        <v>90.39</v>
      </c>
      <c r="I183" s="17" t="n"/>
      <c r="J183" s="10" t="n"/>
      <c r="K183" s="19" t="n"/>
      <c r="L183" s="11" t="n"/>
      <c r="M183" s="21" t="n"/>
      <c r="N183" s="12" t="n">
        <v>371.49</v>
      </c>
    </row>
    <row r="184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2" t="n">
        <v>46300</v>
      </c>
      <c r="G184" s="14" t="n">
        <v>46279</v>
      </c>
      <c r="H184" s="9" t="n">
        <v>39.24</v>
      </c>
      <c r="I184" s="17" t="n"/>
      <c r="J184" s="10" t="n"/>
      <c r="K184" s="19" t="n"/>
      <c r="L184" s="11" t="n"/>
      <c r="M184" s="21" t="n"/>
      <c r="N184" s="12" t="n">
        <v>114.98</v>
      </c>
    </row>
    <row r="185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2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21" t="n"/>
      <c r="N185" s="12" t="inlineStr">
        <is>
          <t>-</t>
        </is>
      </c>
    </row>
    <row r="186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2" t="n">
        <v>46300</v>
      </c>
      <c r="G186" s="14" t="n">
        <v>46273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inlineStr">
        <is>
          <t>-</t>
        </is>
      </c>
    </row>
    <row r="187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2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21" t="n"/>
      <c r="N187" s="12" t="n">
        <v>214.14</v>
      </c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2" t="n">
        <v>46300</v>
      </c>
      <c r="G188" s="14" t="n">
        <v>46265</v>
      </c>
      <c r="H188" s="9" t="n">
        <v>41.26</v>
      </c>
      <c r="I188" s="17" t="n"/>
      <c r="J188" s="10" t="n"/>
      <c r="K188" s="19" t="n"/>
      <c r="L188" s="11" t="n"/>
      <c r="M188" s="21" t="n"/>
      <c r="N188" s="12" t="n">
        <v>244.54</v>
      </c>
    </row>
    <row r="189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2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21" t="n"/>
      <c r="N189" s="12" t="n">
        <v>1019.22</v>
      </c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2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21" t="n"/>
      <c r="N190" s="12" t="n">
        <v>436.68</v>
      </c>
    </row>
    <row r="19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2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21" t="n"/>
      <c r="N191" s="12" t="inlineStr">
        <is>
          <t>-</t>
        </is>
      </c>
    </row>
    <row r="192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2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21" t="n"/>
      <c r="N192" s="12" t="n">
        <v>49.72</v>
      </c>
    </row>
    <row r="193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2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21" t="n"/>
      <c r="N193" s="12" t="inlineStr">
        <is>
          <t>-</t>
        </is>
      </c>
    </row>
    <row r="194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2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21" t="n"/>
      <c r="N194" s="12" t="inlineStr">
        <is>
          <t>-</t>
        </is>
      </c>
    </row>
    <row r="195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2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21" t="n"/>
      <c r="N195" s="12" t="inlineStr">
        <is>
          <t>-</t>
        </is>
      </c>
    </row>
    <row r="196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2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21" t="n"/>
      <c r="N196" s="12" t="n">
        <v>1.4</v>
      </c>
    </row>
    <row r="197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2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>
        <v>46290</v>
      </c>
      <c r="L197" s="11" t="inlineStr">
        <is>
          <t>-</t>
        </is>
      </c>
      <c r="M197" s="21" t="n"/>
      <c r="N197" s="12" t="inlineStr">
        <is>
          <t>-</t>
        </is>
      </c>
    </row>
    <row r="198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2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21" t="n"/>
      <c r="N198" s="12" t="inlineStr">
        <is>
          <t>-</t>
        </is>
      </c>
    </row>
    <row r="199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2" t="n">
        <v>46300</v>
      </c>
      <c r="G199" s="14" t="n">
        <v>46268</v>
      </c>
      <c r="H199" s="9" t="n">
        <v>0</v>
      </c>
      <c r="I199" s="17" t="n">
        <v>46276</v>
      </c>
      <c r="J199" s="10" t="n">
        <v>342.11</v>
      </c>
      <c r="K199" s="19" t="n"/>
      <c r="L199" s="11" t="n"/>
      <c r="M199" s="21" t="n"/>
      <c r="N199" s="12" t="n">
        <v>343.51</v>
      </c>
    </row>
    <row r="200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2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21" t="n"/>
      <c r="N200" s="12" t="inlineStr">
        <is>
          <t>-</t>
        </is>
      </c>
    </row>
    <row r="20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2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inlineStr">
        <is>
          <t>-</t>
        </is>
      </c>
    </row>
    <row r="202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2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21" t="n"/>
      <c r="N202" s="12" t="inlineStr">
        <is>
          <t>-</t>
        </is>
      </c>
    </row>
    <row r="203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2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21" t="n"/>
      <c r="N203" s="12" t="inlineStr">
        <is>
          <t>-</t>
        </is>
      </c>
    </row>
    <row r="204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2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21" t="n"/>
      <c r="N204" s="12" t="inlineStr">
        <is>
          <t>-</t>
        </is>
      </c>
    </row>
    <row r="205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2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21" t="n"/>
      <c r="N205" s="12" t="n">
        <v>33.39</v>
      </c>
    </row>
    <row r="206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2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21" t="n"/>
      <c r="N206" s="12" t="n">
        <v>19.37</v>
      </c>
    </row>
    <row r="207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2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21" t="n"/>
      <c r="N207" s="12" t="inlineStr">
        <is>
          <t>-</t>
        </is>
      </c>
    </row>
    <row r="208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2" t="n">
        <v>46300</v>
      </c>
      <c r="G208" s="14" t="n">
        <v>46265</v>
      </c>
      <c r="H208" s="9" t="n">
        <v>0</v>
      </c>
      <c r="I208" s="17" t="n">
        <v>46275</v>
      </c>
      <c r="J208" s="10" t="n">
        <v>0</v>
      </c>
      <c r="K208" s="19" t="n"/>
      <c r="L208" s="11" t="n"/>
      <c r="M208" s="21" t="n"/>
      <c r="N208" s="12" t="n">
        <v>49.79</v>
      </c>
    </row>
    <row r="209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2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21" t="n"/>
      <c r="N209" s="12" t="n">
        <v>150.18</v>
      </c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2" t="n">
        <v>46300</v>
      </c>
      <c r="G210" s="14" t="n">
        <v>46269</v>
      </c>
      <c r="H210" s="9" t="n">
        <v>117.06</v>
      </c>
      <c r="I210" s="17" t="n"/>
      <c r="J210" s="10" t="n"/>
      <c r="K210" s="19" t="n"/>
      <c r="L210" s="11" t="n"/>
      <c r="M210" s="21" t="n"/>
      <c r="N210" s="12" t="n">
        <v>901.65</v>
      </c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2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21" t="n"/>
      <c r="N211" s="12" t="n">
        <v>354.82</v>
      </c>
    </row>
    <row r="212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2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21" t="n"/>
      <c r="N212" s="12" t="n">
        <v>178.49</v>
      </c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2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21" t="n"/>
      <c r="N213" s="12" t="n">
        <v>205.71</v>
      </c>
    </row>
    <row r="214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2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21" t="n"/>
      <c r="N214" s="12" t="n">
        <v>245.68</v>
      </c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2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21" t="n"/>
      <c r="N215" s="12" t="n">
        <v>190.85</v>
      </c>
    </row>
    <row r="216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2" t="n">
        <v>46300</v>
      </c>
      <c r="G216" s="14" t="n">
        <v>46282</v>
      </c>
      <c r="H216" s="9" t="inlineStr">
        <is>
          <t>-</t>
        </is>
      </c>
      <c r="I216" s="17" t="n">
        <v>46290</v>
      </c>
      <c r="J216" s="10" t="inlineStr">
        <is>
          <t>-</t>
        </is>
      </c>
      <c r="K216" s="19" t="n"/>
      <c r="L216" s="11" t="n"/>
      <c r="M216" s="21" t="n"/>
      <c r="N216" s="12" t="inlineStr">
        <is>
          <t>-</t>
        </is>
      </c>
    </row>
    <row r="217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2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21" t="n"/>
      <c r="N217" s="12" t="n">
        <v>0.37</v>
      </c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2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21" t="n"/>
      <c r="N218" s="12" t="n">
        <v>0.52</v>
      </c>
    </row>
    <row r="219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2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21" t="n"/>
      <c r="N219" s="12" t="n">
        <v>0.37</v>
      </c>
    </row>
    <row r="220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2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21" t="n"/>
      <c r="N220" s="12" t="n">
        <v>0.52</v>
      </c>
    </row>
    <row r="22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2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21" t="n"/>
      <c r="N221" s="12" t="n">
        <v>8.48</v>
      </c>
    </row>
    <row r="222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2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21" t="n"/>
      <c r="N222" s="12" t="inlineStr">
        <is>
          <t>-</t>
        </is>
      </c>
    </row>
    <row r="223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2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21" t="n"/>
      <c r="N223" s="12" t="inlineStr">
        <is>
          <t>-</t>
        </is>
      </c>
    </row>
    <row r="224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2" t="n">
        <v>46300</v>
      </c>
      <c r="G224" s="14" t="n">
        <v>46260</v>
      </c>
      <c r="H224" s="9" t="n">
        <v>0</v>
      </c>
      <c r="I224" s="17" t="n">
        <v>46274</v>
      </c>
      <c r="J224" s="10" t="n">
        <v>0</v>
      </c>
      <c r="K224" s="19" t="n"/>
      <c r="L224" s="11" t="n"/>
      <c r="M224" s="21" t="n"/>
      <c r="N224" s="12" t="n">
        <v>23.76</v>
      </c>
    </row>
    <row r="225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2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21" t="n"/>
      <c r="N225" s="12" t="inlineStr">
        <is>
          <t>-</t>
        </is>
      </c>
    </row>
    <row r="226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2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21" t="n"/>
      <c r="N226" s="12" t="inlineStr">
        <is>
          <t>-</t>
        </is>
      </c>
    </row>
    <row r="227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2" t="n">
        <v>46300</v>
      </c>
      <c r="G227" s="14" t="n">
        <v>46268</v>
      </c>
      <c r="H227" s="9" t="inlineStr">
        <is>
          <t>-</t>
        </is>
      </c>
      <c r="I227" s="17" t="n">
        <v>46290</v>
      </c>
      <c r="J227" s="10" t="inlineStr">
        <is>
          <t>-</t>
        </is>
      </c>
      <c r="K227" s="19" t="n"/>
      <c r="L227" s="11" t="n"/>
      <c r="M227" s="21" t="n"/>
      <c r="N227" s="12" t="inlineStr">
        <is>
          <t>-</t>
        </is>
      </c>
    </row>
    <row r="228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2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inlineStr">
        <is>
          <t>-</t>
        </is>
      </c>
    </row>
    <row r="229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2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inlineStr">
        <is>
          <t>-</t>
        </is>
      </c>
    </row>
    <row r="230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2" t="n">
        <v>46300</v>
      </c>
      <c r="G230" s="14" t="n">
        <v>46288</v>
      </c>
      <c r="H230" s="9" t="inlineStr">
        <is>
          <t>-</t>
        </is>
      </c>
      <c r="I230" s="17" t="n">
        <v>46290</v>
      </c>
      <c r="J230" s="10" t="inlineStr">
        <is>
          <t>-</t>
        </is>
      </c>
      <c r="K230" s="19" t="n"/>
      <c r="L230" s="11" t="n"/>
      <c r="M230" s="21" t="n"/>
      <c r="N230" s="12" t="inlineStr">
        <is>
          <t>-</t>
        </is>
      </c>
    </row>
    <row r="231" ht="21.75" customHeight="1">
      <c r="A231" s="7" t="inlineStr">
        <is>
          <t>15D10A002</t>
        </is>
      </c>
      <c r="B231" s="8" t="inlineStr">
        <is>
          <t>1191211</t>
        </is>
      </c>
      <c r="C231" s="8" t="inlineStr">
        <is>
          <t>W SUNGAZE FISHER</t>
        </is>
      </c>
      <c r="D231" s="8" t="inlineStr">
        <is>
          <t>BCHW</t>
        </is>
      </c>
      <c r="E231" s="8" t="n">
        <v>109</v>
      </c>
      <c r="F231" s="22" t="n">
        <v>46300</v>
      </c>
      <c r="G231" s="14" t="n">
        <v>46290</v>
      </c>
      <c r="H231" s="9" t="inlineStr">
        <is>
          <t>-</t>
        </is>
      </c>
      <c r="I231" s="17" t="n"/>
      <c r="J231" s="10" t="n"/>
      <c r="K231" s="19" t="n"/>
      <c r="L231" s="11" t="n"/>
      <c r="M231" s="21" t="n"/>
      <c r="N231" s="12" t="inlineStr">
        <is>
          <t>-</t>
        </is>
      </c>
    </row>
    <row r="232" ht="21.75" customHeight="1">
      <c r="A232" s="7" t="inlineStr">
        <is>
          <t>15D10A003</t>
        </is>
      </c>
      <c r="B232" s="8" t="inlineStr">
        <is>
          <t>1191211</t>
        </is>
      </c>
      <c r="C232" s="8" t="inlineStr">
        <is>
          <t>W SUNGAZE FISHER</t>
        </is>
      </c>
      <c r="D232" s="8" t="inlineStr">
        <is>
          <t>LBNZ</t>
        </is>
      </c>
      <c r="E232" s="8" t="n">
        <v>109</v>
      </c>
      <c r="F232" s="22" t="n">
        <v>46300</v>
      </c>
      <c r="G232" s="14" t="n">
        <v>46290</v>
      </c>
      <c r="H232" s="9" t="inlineStr">
        <is>
          <t>-</t>
        </is>
      </c>
      <c r="I232" s="17" t="n"/>
      <c r="J232" s="10" t="n"/>
      <c r="K232" s="19" t="n"/>
      <c r="L232" s="11" t="n"/>
      <c r="M232" s="21" t="n"/>
      <c r="N232" s="12" t="inlineStr">
        <is>
          <t>-</t>
        </is>
      </c>
    </row>
    <row r="233" ht="21.75" customHeight="1">
      <c r="A233" s="7" t="inlineStr">
        <is>
          <t>15D10A004</t>
        </is>
      </c>
      <c r="B233" s="8" t="inlineStr">
        <is>
          <t>1191211</t>
        </is>
      </c>
      <c r="C233" s="8" t="inlineStr">
        <is>
          <t>W SUNGAZE FISHER</t>
        </is>
      </c>
      <c r="D233" s="8" t="inlineStr">
        <is>
          <t>BCHW</t>
        </is>
      </c>
      <c r="E233" s="8" t="n">
        <v>188</v>
      </c>
      <c r="F233" s="22" t="n">
        <v>46300</v>
      </c>
      <c r="G233" s="14" t="n">
        <v>46290</v>
      </c>
      <c r="H233" s="9" t="inlineStr">
        <is>
          <t>-</t>
        </is>
      </c>
      <c r="I233" s="17" t="n"/>
      <c r="J233" s="10" t="n"/>
      <c r="K233" s="19" t="n"/>
      <c r="L233" s="11" t="n"/>
      <c r="M233" s="21" t="n"/>
      <c r="N233" s="12" t="inlineStr">
        <is>
          <t>-</t>
        </is>
      </c>
    </row>
    <row r="234" ht="21.75" customHeight="1">
      <c r="A234" s="7" t="inlineStr">
        <is>
          <t>15D10A005</t>
        </is>
      </c>
      <c r="B234" s="8" t="inlineStr">
        <is>
          <t>1191211</t>
        </is>
      </c>
      <c r="C234" s="8" t="inlineStr">
        <is>
          <t>W SUNGAZE FISHER</t>
        </is>
      </c>
      <c r="D234" s="8" t="inlineStr">
        <is>
          <t>LBNZ</t>
        </is>
      </c>
      <c r="E234" s="8" t="n">
        <v>188</v>
      </c>
      <c r="F234" s="22" t="n">
        <v>46300</v>
      </c>
      <c r="G234" s="14" t="n">
        <v>46290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inlineStr">
        <is>
          <t>-</t>
        </is>
      </c>
    </row>
    <row r="235" ht="21.75" customHeight="1">
      <c r="A235" s="7" t="inlineStr">
        <is>
          <t>15D10A043</t>
        </is>
      </c>
      <c r="B235" s="8" t="inlineStr">
        <is>
          <t>1177035</t>
        </is>
      </c>
      <c r="C235" s="8" t="inlineStr">
        <is>
          <t>M MINIMEL</t>
        </is>
      </c>
      <c r="D235" s="8" t="inlineStr">
        <is>
          <t>DRKS</t>
        </is>
      </c>
      <c r="E235" s="8" t="n">
        <v>108</v>
      </c>
      <c r="F235" s="22" t="n">
        <v>46302</v>
      </c>
      <c r="G235" s="14" t="n">
        <v>46262</v>
      </c>
      <c r="H235" s="9" t="inlineStr">
        <is>
          <t>-</t>
        </is>
      </c>
      <c r="I235" s="17" t="n">
        <v>46280</v>
      </c>
      <c r="J235" s="10" t="inlineStr">
        <is>
          <t>-</t>
        </is>
      </c>
      <c r="K235" s="19" t="n"/>
      <c r="L235" s="11" t="n"/>
      <c r="M235" s="21" t="n"/>
      <c r="N235" s="12" t="inlineStr">
        <is>
          <t>-</t>
        </is>
      </c>
    </row>
    <row r="236" ht="21.75" customHeight="1">
      <c r="A236" s="7" t="inlineStr">
        <is>
          <t>15D10A048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BLK</t>
        </is>
      </c>
      <c r="E236" s="8" t="n">
        <v>144</v>
      </c>
      <c r="F236" s="22" t="n">
        <v>46302</v>
      </c>
      <c r="G236" s="14" t="n">
        <v>46277</v>
      </c>
      <c r="H236" s="9" t="inlineStr">
        <is>
          <t>-</t>
        </is>
      </c>
      <c r="I236" s="17" t="n">
        <v>46287</v>
      </c>
      <c r="J236" s="10" t="inlineStr">
        <is>
          <t>-</t>
        </is>
      </c>
      <c r="K236" s="19" t="n"/>
      <c r="L236" s="11" t="n"/>
      <c r="M236" s="21" t="n"/>
      <c r="N236" s="12" t="inlineStr">
        <is>
          <t>-</t>
        </is>
      </c>
    </row>
    <row r="237" ht="21.75" customHeight="1">
      <c r="A237" s="7" t="inlineStr">
        <is>
          <t>15D10A049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MDSD</t>
        </is>
      </c>
      <c r="E237" s="8" t="n">
        <v>108</v>
      </c>
      <c r="F237" s="22" t="n">
        <v>46302</v>
      </c>
      <c r="G237" s="14" t="n">
        <v>46282</v>
      </c>
      <c r="H237" s="9" t="inlineStr">
        <is>
          <t>-</t>
        </is>
      </c>
      <c r="I237" s="17" t="n">
        <v>46290</v>
      </c>
      <c r="J237" s="10" t="inlineStr">
        <is>
          <t>-</t>
        </is>
      </c>
      <c r="K237" s="19" t="n"/>
      <c r="L237" s="11" t="n"/>
      <c r="M237" s="21" t="n"/>
      <c r="N237" s="12" t="inlineStr">
        <is>
          <t>-</t>
        </is>
      </c>
    </row>
    <row r="238" ht="21.75" customHeight="1">
      <c r="A238" s="7" t="inlineStr">
        <is>
          <t>15D10A050</t>
        </is>
      </c>
      <c r="B238" s="8" t="inlineStr">
        <is>
          <t>1175301</t>
        </is>
      </c>
      <c r="C238" s="8" t="inlineStr">
        <is>
          <t>W MINIMEL</t>
        </is>
      </c>
      <c r="D238" s="8" t="inlineStr">
        <is>
          <t>BLK</t>
        </is>
      </c>
      <c r="E238" s="8" t="n">
        <v>108</v>
      </c>
      <c r="F238" s="22" t="n">
        <v>46302</v>
      </c>
      <c r="G238" s="14" t="n">
        <v>46277</v>
      </c>
      <c r="H238" s="9" t="inlineStr">
        <is>
          <t>-</t>
        </is>
      </c>
      <c r="I238" s="17" t="n">
        <v>46282</v>
      </c>
      <c r="J238" s="10" t="inlineStr">
        <is>
          <t>-</t>
        </is>
      </c>
      <c r="K238" s="19" t="n"/>
      <c r="L238" s="11" t="n"/>
      <c r="M238" s="21" t="n"/>
      <c r="N238" s="12" t="inlineStr">
        <is>
          <t>-</t>
        </is>
      </c>
    </row>
    <row r="239" ht="21.75" customHeight="1">
      <c r="A239" s="7" t="inlineStr">
        <is>
          <t>15D10A051</t>
        </is>
      </c>
      <c r="B239" s="8" t="inlineStr">
        <is>
          <t>1175301</t>
        </is>
      </c>
      <c r="C239" s="8" t="inlineStr">
        <is>
          <t>W MINIMEL</t>
        </is>
      </c>
      <c r="D239" s="8" t="inlineStr">
        <is>
          <t>JSM</t>
        </is>
      </c>
      <c r="E239" s="8" t="n">
        <v>180</v>
      </c>
      <c r="F239" s="22" t="n">
        <v>46302</v>
      </c>
      <c r="G239" s="14" t="n">
        <v>46269</v>
      </c>
      <c r="H239" s="9" t="inlineStr">
        <is>
          <t>-</t>
        </is>
      </c>
      <c r="I239" s="17" t="n"/>
      <c r="J239" s="10" t="n"/>
      <c r="K239" s="19" t="n"/>
      <c r="L239" s="11" t="n"/>
      <c r="M239" s="21" t="n"/>
      <c r="N239" s="12" t="inlineStr">
        <is>
          <t>-</t>
        </is>
      </c>
    </row>
    <row r="240" ht="21.75" customHeight="1">
      <c r="A240" s="7" t="inlineStr">
        <is>
          <t>15D10A052</t>
        </is>
      </c>
      <c r="B240" s="8" t="inlineStr">
        <is>
          <t>1175301</t>
        </is>
      </c>
      <c r="C240" s="8" t="inlineStr">
        <is>
          <t>W MINIMEL</t>
        </is>
      </c>
      <c r="D240" s="8" t="inlineStr">
        <is>
          <t>MDSD</t>
        </is>
      </c>
      <c r="E240" s="8" t="n">
        <v>120</v>
      </c>
      <c r="F240" s="22" t="n">
        <v>46302</v>
      </c>
      <c r="G240" s="14" t="n">
        <v>46282</v>
      </c>
      <c r="H240" s="9" t="inlineStr">
        <is>
          <t>-</t>
        </is>
      </c>
      <c r="I240" s="17" t="n"/>
      <c r="J240" s="10" t="n"/>
      <c r="K240" s="19" t="n"/>
      <c r="L240" s="11" t="n"/>
      <c r="M240" s="21" t="n"/>
      <c r="N240" s="12" t="inlineStr">
        <is>
          <t>-</t>
        </is>
      </c>
    </row>
    <row r="241" ht="21.75" customHeight="1">
      <c r="A241" s="7" t="inlineStr">
        <is>
          <t>15D10A053</t>
        </is>
      </c>
      <c r="B241" s="8" t="inlineStr">
        <is>
          <t>1175301</t>
        </is>
      </c>
      <c r="C241" s="8" t="inlineStr">
        <is>
          <t>W MINIMEL</t>
        </is>
      </c>
      <c r="D241" s="8" t="inlineStr">
        <is>
          <t>MTR</t>
        </is>
      </c>
      <c r="E241" s="8" t="n">
        <v>126</v>
      </c>
      <c r="F241" s="22" t="n">
        <v>46302</v>
      </c>
      <c r="G241" s="14" t="n">
        <v>46277</v>
      </c>
      <c r="H241" s="9" t="inlineStr">
        <is>
          <t>-</t>
        </is>
      </c>
      <c r="I241" s="17" t="n">
        <v>46288</v>
      </c>
      <c r="J241" s="10" t="inlineStr">
        <is>
          <t>-</t>
        </is>
      </c>
      <c r="K241" s="19" t="n"/>
      <c r="L241" s="11" t="n"/>
      <c r="M241" s="21" t="n"/>
      <c r="N241" s="12" t="inlineStr">
        <is>
          <t>-</t>
        </is>
      </c>
    </row>
    <row r="242" ht="21.75" customHeight="1">
      <c r="A242" s="7" t="inlineStr">
        <is>
          <t>15D10A065</t>
        </is>
      </c>
      <c r="B242" s="8" t="inlineStr">
        <is>
          <t>1152410K</t>
        </is>
      </c>
      <c r="C242" s="8" t="inlineStr">
        <is>
          <t>K LOWMEL</t>
        </is>
      </c>
      <c r="D242" s="8" t="inlineStr">
        <is>
          <t>CHE</t>
        </is>
      </c>
      <c r="E242" s="8" t="n">
        <v>108</v>
      </c>
      <c r="F242" s="22" t="n">
        <v>46302</v>
      </c>
      <c r="G242" s="14" t="n">
        <v>46265</v>
      </c>
      <c r="H242" s="9" t="inlineStr">
        <is>
          <t>-</t>
        </is>
      </c>
      <c r="I242" s="17" t="n">
        <v>46288</v>
      </c>
      <c r="J242" s="10" t="inlineStr">
        <is>
          <t>-</t>
        </is>
      </c>
      <c r="K242" s="19" t="n"/>
      <c r="L242" s="11" t="n"/>
      <c r="M242" s="21" t="n"/>
      <c r="N242" s="12" t="inlineStr">
        <is>
          <t>-</t>
        </is>
      </c>
    </row>
    <row r="243" ht="21.75" customHeight="1">
      <c r="A243" s="7" t="inlineStr">
        <is>
          <t>15D10B007</t>
        </is>
      </c>
      <c r="B243" s="8" t="inlineStr">
        <is>
          <t>1191234K</t>
        </is>
      </c>
      <c r="C243" s="8" t="inlineStr">
        <is>
          <t>K ROZMAN</t>
        </is>
      </c>
      <c r="D243" s="8" t="inlineStr">
        <is>
          <t>SHT</t>
        </is>
      </c>
      <c r="E243" s="8" t="n">
        <v>645</v>
      </c>
      <c r="F243" s="22" t="n">
        <v>46307</v>
      </c>
      <c r="G243" s="14" t="n">
        <v>46287</v>
      </c>
      <c r="H243" s="9" t="n">
        <v>164.4</v>
      </c>
      <c r="I243" s="17" t="n"/>
      <c r="J243" s="10" t="n"/>
      <c r="K243" s="19" t="n"/>
      <c r="L243" s="11" t="n"/>
      <c r="M243" s="21" t="n"/>
      <c r="N243" s="12" t="n">
        <v>164.4</v>
      </c>
    </row>
    <row r="244" ht="21.75" customHeight="1">
      <c r="A244" s="7" t="inlineStr">
        <is>
          <t>15D10B014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CHE</t>
        </is>
      </c>
      <c r="E244" s="8" t="n">
        <v>10877</v>
      </c>
      <c r="F244" s="22" t="n">
        <v>46307</v>
      </c>
      <c r="G244" s="14" t="n">
        <v>46287</v>
      </c>
      <c r="H244" s="9" t="inlineStr">
        <is>
          <t>-</t>
        </is>
      </c>
      <c r="I244" s="17" t="n"/>
      <c r="J244" s="10" t="n"/>
      <c r="K244" s="19" t="n"/>
      <c r="L244" s="11" t="n"/>
      <c r="M244" s="21" t="n"/>
      <c r="N244" s="12" t="inlineStr">
        <is>
          <t>-</t>
        </is>
      </c>
    </row>
    <row r="245" ht="21.75" customHeight="1">
      <c r="A245" s="7" t="inlineStr">
        <is>
          <t>15D10B001</t>
        </is>
      </c>
      <c r="B245" s="8" t="inlineStr">
        <is>
          <t>1152410K</t>
        </is>
      </c>
      <c r="C245" s="8" t="inlineStr">
        <is>
          <t>K LOWMEL</t>
        </is>
      </c>
      <c r="D245" s="8" t="inlineStr">
        <is>
          <t>SAN</t>
        </is>
      </c>
      <c r="E245" s="8" t="n">
        <v>7785</v>
      </c>
      <c r="F245" s="22" t="n">
        <v>46307</v>
      </c>
      <c r="G245" s="14" t="n"/>
      <c r="H245" s="9" t="n"/>
      <c r="I245" s="17" t="n"/>
      <c r="J245" s="10" t="n"/>
      <c r="K245" s="19" t="n"/>
      <c r="L245" s="11" t="n"/>
      <c r="M245" s="21" t="n"/>
      <c r="N245" s="12" t="n">
        <v>3355.08</v>
      </c>
    </row>
    <row r="246" ht="21.75" customHeight="1">
      <c r="A246" s="7" t="inlineStr">
        <is>
          <t>15D10B002</t>
        </is>
      </c>
      <c r="B246" s="8" t="inlineStr">
        <is>
          <t>1191175</t>
        </is>
      </c>
      <c r="C246" s="8" t="inlineStr">
        <is>
          <t>W SUNGAZE SLIPPER</t>
        </is>
      </c>
      <c r="D246" s="8" t="inlineStr">
        <is>
          <t>BCHW</t>
        </is>
      </c>
      <c r="E246" s="8" t="n">
        <v>2823</v>
      </c>
      <c r="F246" s="22" t="n">
        <v>46307</v>
      </c>
      <c r="G246" s="14" t="n">
        <v>46262</v>
      </c>
      <c r="H246" s="9" t="inlineStr">
        <is>
          <t>-</t>
        </is>
      </c>
      <c r="I246" s="17" t="n"/>
      <c r="J246" s="10" t="n"/>
      <c r="K246" s="19" t="n"/>
      <c r="L246" s="11" t="n"/>
      <c r="M246" s="21" t="n"/>
      <c r="N246" s="12" t="inlineStr">
        <is>
          <t>-</t>
        </is>
      </c>
    </row>
    <row r="247" ht="21.75" customHeight="1">
      <c r="A247" s="7" t="inlineStr">
        <is>
          <t>15D10B008</t>
        </is>
      </c>
      <c r="B247" s="8" t="inlineStr">
        <is>
          <t>1191090</t>
        </is>
      </c>
      <c r="C247" s="8" t="inlineStr">
        <is>
          <t>M TASMAN SIGNATURE</t>
        </is>
      </c>
      <c r="D247" s="8" t="inlineStr">
        <is>
          <t>BTOL</t>
        </is>
      </c>
      <c r="E247" s="8" t="n">
        <v>894</v>
      </c>
      <c r="F247" s="22" t="n">
        <v>46307</v>
      </c>
      <c r="G247" s="14" t="n">
        <v>46280</v>
      </c>
      <c r="H247" s="9" t="n">
        <v>232.01</v>
      </c>
      <c r="I247" s="17" t="n"/>
      <c r="J247" s="10" t="n"/>
      <c r="K247" s="19" t="n"/>
      <c r="L247" s="11" t="n"/>
      <c r="M247" s="21" t="n"/>
      <c r="N247" s="12" t="n">
        <v>412.8</v>
      </c>
    </row>
    <row r="248" ht="21.75" customHeight="1">
      <c r="A248" s="7" t="inlineStr">
        <is>
          <t>15D10B009</t>
        </is>
      </c>
      <c r="B248" s="8" t="inlineStr">
        <is>
          <t>1191090</t>
        </is>
      </c>
      <c r="C248" s="8" t="inlineStr">
        <is>
          <t>M TASMAN SIGNATURE</t>
        </is>
      </c>
      <c r="D248" s="8" t="inlineStr">
        <is>
          <t>DMLB</t>
        </is>
      </c>
      <c r="E248" s="8" t="n">
        <v>800</v>
      </c>
      <c r="F248" s="22" t="n">
        <v>46307</v>
      </c>
      <c r="G248" s="14" t="n">
        <v>46282</v>
      </c>
      <c r="H248" s="9" t="n">
        <v>418.31</v>
      </c>
      <c r="I248" s="17" t="n"/>
      <c r="J248" s="10" t="n"/>
      <c r="K248" s="19" t="n"/>
      <c r="L248" s="11" t="n"/>
      <c r="M248" s="21" t="n"/>
      <c r="N248" s="12" t="n">
        <v>591.73</v>
      </c>
    </row>
    <row r="249" ht="21.75" customHeight="1">
      <c r="A249" s="7" t="inlineStr">
        <is>
          <t>15D10B015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6270</v>
      </c>
      <c r="F249" s="22" t="n">
        <v>46307</v>
      </c>
      <c r="G249" s="14" t="n">
        <v>46288</v>
      </c>
      <c r="H249" s="9" t="n">
        <v>157.38</v>
      </c>
      <c r="I249" s="17" t="n"/>
      <c r="J249" s="10" t="n"/>
      <c r="K249" s="19" t="n"/>
      <c r="L249" s="11" t="n"/>
      <c r="M249" s="21" t="n"/>
      <c r="N249" s="12" t="n">
        <v>157.38</v>
      </c>
    </row>
    <row r="250" ht="21.75" customHeight="1">
      <c r="A250" s="7" t="inlineStr">
        <is>
          <t>15D10B023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RCKS</t>
        </is>
      </c>
      <c r="E250" s="8" t="n">
        <v>111</v>
      </c>
      <c r="F250" s="22" t="n">
        <v>46307</v>
      </c>
      <c r="G250" s="14" t="n">
        <v>46270</v>
      </c>
      <c r="H250" s="9" t="n">
        <v>0</v>
      </c>
      <c r="I250" s="17" t="n">
        <v>46281</v>
      </c>
      <c r="J250" s="10" t="n">
        <v>0</v>
      </c>
      <c r="K250" s="19" t="n"/>
      <c r="L250" s="11" t="n"/>
      <c r="M250" s="21" t="n"/>
      <c r="N250" s="12" t="n">
        <v>43.17</v>
      </c>
    </row>
    <row r="251" ht="21.75" customHeight="1">
      <c r="A251" s="7" t="inlineStr">
        <is>
          <t>15D10B026</t>
        </is>
      </c>
      <c r="B251" s="8" t="inlineStr">
        <is>
          <t>1175301</t>
        </is>
      </c>
      <c r="C251" s="8" t="inlineStr">
        <is>
          <t>W MINIMEL</t>
        </is>
      </c>
      <c r="D251" s="8" t="inlineStr">
        <is>
          <t>JSM</t>
        </is>
      </c>
      <c r="E251" s="8" t="n">
        <v>10682</v>
      </c>
      <c r="F251" s="22" t="n">
        <v>46307</v>
      </c>
      <c r="G251" s="14" t="n"/>
      <c r="H251" s="9" t="n"/>
      <c r="I251" s="17" t="n"/>
      <c r="J251" s="10" t="n"/>
      <c r="K251" s="19" t="n"/>
      <c r="L251" s="11" t="n"/>
      <c r="M251" s="21" t="n"/>
      <c r="N251" s="12" t="inlineStr">
        <is>
          <t>-</t>
        </is>
      </c>
    </row>
    <row r="252" ht="21.75" customHeight="1">
      <c r="A252" s="7" t="inlineStr">
        <is>
          <t>15D10B027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12017</v>
      </c>
      <c r="F252" s="22" t="n">
        <v>46307</v>
      </c>
      <c r="G252" s="14" t="n">
        <v>46290</v>
      </c>
      <c r="H252" s="9" t="inlineStr">
        <is>
          <t>-</t>
        </is>
      </c>
      <c r="I252" s="17" t="n"/>
      <c r="J252" s="10" t="n"/>
      <c r="K252" s="19" t="n"/>
      <c r="L252" s="11" t="n"/>
      <c r="M252" s="21" t="n"/>
      <c r="N252" s="12" t="inlineStr">
        <is>
          <t>-</t>
        </is>
      </c>
    </row>
    <row r="253" ht="21.75" customHeight="1">
      <c r="A253" s="7" t="inlineStr">
        <is>
          <t>15D10B035</t>
        </is>
      </c>
      <c r="B253" s="8" t="inlineStr">
        <is>
          <t>1177035</t>
        </is>
      </c>
      <c r="C253" s="8" t="inlineStr">
        <is>
          <t>M MINIMEL</t>
        </is>
      </c>
      <c r="D253" s="8" t="inlineStr">
        <is>
          <t>DRKS</t>
        </is>
      </c>
      <c r="E253" s="8" t="n">
        <v>120</v>
      </c>
      <c r="F253" s="22" t="n">
        <v>46307</v>
      </c>
      <c r="G253" s="14" t="n">
        <v>46273</v>
      </c>
      <c r="H253" s="9" t="inlineStr">
        <is>
          <t>-</t>
        </is>
      </c>
      <c r="I253" s="17" t="n">
        <v>46288</v>
      </c>
      <c r="J253" s="10" t="inlineStr">
        <is>
          <t>-</t>
        </is>
      </c>
      <c r="K253" s="19" t="n"/>
      <c r="L253" s="11" t="n"/>
      <c r="M253" s="21" t="n"/>
      <c r="N253" s="12" t="inlineStr">
        <is>
          <t>-</t>
        </is>
      </c>
    </row>
    <row r="254" ht="21.75" customHeight="1">
      <c r="A254" s="7" t="inlineStr">
        <is>
          <t>15D10B048</t>
        </is>
      </c>
      <c r="B254" s="8" t="inlineStr">
        <is>
          <t>1180011</t>
        </is>
      </c>
      <c r="C254" s="8" t="inlineStr">
        <is>
          <t>M SUNGAZER</t>
        </is>
      </c>
      <c r="D254" s="8" t="inlineStr">
        <is>
          <t>CHE</t>
        </is>
      </c>
      <c r="E254" s="8" t="n">
        <v>272</v>
      </c>
      <c r="F254" s="22" t="n">
        <v>46307</v>
      </c>
      <c r="G254" s="14" t="n">
        <v>46262</v>
      </c>
      <c r="H254" s="9" t="inlineStr">
        <is>
          <t>-</t>
        </is>
      </c>
      <c r="I254" s="17" t="n"/>
      <c r="J254" s="10" t="n"/>
      <c r="K254" s="19" t="n"/>
      <c r="L254" s="11" t="n"/>
      <c r="M254" s="21" t="n"/>
      <c r="N254" s="12" t="inlineStr">
        <is>
          <t>-</t>
        </is>
      </c>
    </row>
    <row r="255" ht="21.75" customHeight="1">
      <c r="A255" s="7" t="inlineStr">
        <is>
          <t>15D10B050</t>
        </is>
      </c>
      <c r="B255" s="8" t="inlineStr">
        <is>
          <t>1180011</t>
        </is>
      </c>
      <c r="C255" s="8" t="inlineStr">
        <is>
          <t>M SUNGAZER</t>
        </is>
      </c>
      <c r="D255" s="8" t="inlineStr">
        <is>
          <t>GYX</t>
        </is>
      </c>
      <c r="E255" s="8" t="n">
        <v>607</v>
      </c>
      <c r="F255" s="22" t="n">
        <v>46307</v>
      </c>
      <c r="G255" s="14" t="n">
        <v>46267</v>
      </c>
      <c r="H255" s="9" t="inlineStr">
        <is>
          <t>-</t>
        </is>
      </c>
      <c r="I255" s="17" t="n">
        <v>46287</v>
      </c>
      <c r="J255" s="10" t="inlineStr">
        <is>
          <t>-</t>
        </is>
      </c>
      <c r="K255" s="19" t="n"/>
      <c r="L255" s="11" t="n"/>
      <c r="M255" s="21" t="n"/>
      <c r="N255" s="12" t="inlineStr">
        <is>
          <t>-</t>
        </is>
      </c>
    </row>
    <row r="256" ht="21.75" customHeight="1">
      <c r="A256" s="7" t="inlineStr">
        <is>
          <t>15D10B053</t>
        </is>
      </c>
      <c r="B256" s="8" t="inlineStr">
        <is>
          <t>1174671</t>
        </is>
      </c>
      <c r="C256" s="8" t="inlineStr">
        <is>
          <t>M TASMAN II</t>
        </is>
      </c>
      <c r="D256" s="8" t="inlineStr">
        <is>
          <t>BLTT</t>
        </is>
      </c>
      <c r="E256" s="8" t="n">
        <v>1675</v>
      </c>
      <c r="F256" s="22" t="n">
        <v>46307</v>
      </c>
      <c r="G256" s="14" t="n">
        <v>46268</v>
      </c>
      <c r="H256" s="9" t="n">
        <v>0</v>
      </c>
      <c r="I256" s="17" t="n"/>
      <c r="J256" s="10" t="n"/>
      <c r="K256" s="19" t="n"/>
      <c r="L256" s="11" t="n"/>
      <c r="M256" s="21" t="n"/>
      <c r="N256" s="12" t="n">
        <v>505.4</v>
      </c>
    </row>
    <row r="257" ht="21.75" customHeight="1">
      <c r="A257" s="7" t="inlineStr">
        <is>
          <t>15D10B054</t>
        </is>
      </c>
      <c r="B257" s="8" t="inlineStr">
        <is>
          <t>1175070</t>
        </is>
      </c>
      <c r="C257" s="8" t="inlineStr">
        <is>
          <t>M TASMAN II NUBUCK</t>
        </is>
      </c>
      <c r="D257" s="8" t="inlineStr">
        <is>
          <t>DKC</t>
        </is>
      </c>
      <c r="E257" s="8" t="n">
        <v>111</v>
      </c>
      <c r="F257" s="22" t="n">
        <v>46307</v>
      </c>
      <c r="G257" s="14" t="n">
        <v>46276</v>
      </c>
      <c r="H257" s="9" t="n">
        <v>33.02</v>
      </c>
      <c r="I257" s="17" t="n"/>
      <c r="J257" s="10" t="n"/>
      <c r="K257" s="19" t="n"/>
      <c r="L257" s="11" t="n"/>
      <c r="M257" s="21" t="n"/>
      <c r="N257" s="12" t="n">
        <v>56.71</v>
      </c>
    </row>
    <row r="258" ht="21.75" customHeight="1">
      <c r="A258" s="7" t="inlineStr">
        <is>
          <t>15D10B079</t>
        </is>
      </c>
      <c r="B258" s="8" t="inlineStr">
        <is>
          <t>1175301</t>
        </is>
      </c>
      <c r="C258" s="8" t="inlineStr">
        <is>
          <t>W MINIMEL</t>
        </is>
      </c>
      <c r="D258" s="8" t="inlineStr">
        <is>
          <t>MDSD</t>
        </is>
      </c>
      <c r="E258" s="8" t="n">
        <v>153</v>
      </c>
      <c r="F258" s="22" t="n">
        <v>46307</v>
      </c>
      <c r="G258" s="14" t="n">
        <v>46283</v>
      </c>
      <c r="H258" s="9" t="inlineStr">
        <is>
          <t>-</t>
        </is>
      </c>
      <c r="I258" s="17" t="n">
        <v>46288</v>
      </c>
      <c r="J258" s="10" t="inlineStr">
        <is>
          <t>-</t>
        </is>
      </c>
      <c r="K258" s="19" t="n"/>
      <c r="L258" s="11" t="n"/>
      <c r="M258" s="21" t="n"/>
      <c r="N258" s="12" t="inlineStr">
        <is>
          <t>-</t>
        </is>
      </c>
    </row>
    <row r="259" ht="21.75" customHeight="1">
      <c r="A259" s="7" t="inlineStr">
        <is>
          <t>15D10B082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1996</v>
      </c>
      <c r="F259" s="22" t="n">
        <v>46307</v>
      </c>
      <c r="G259" s="14" t="n">
        <v>46268</v>
      </c>
      <c r="H259" s="9" t="n">
        <v>0</v>
      </c>
      <c r="I259" s="17" t="n"/>
      <c r="J259" s="10" t="n"/>
      <c r="K259" s="19" t="n"/>
      <c r="L259" s="11" t="n"/>
      <c r="M259" s="21" t="n"/>
      <c r="N259" s="12" t="n">
        <v>0.74</v>
      </c>
    </row>
    <row r="260" ht="21.75" customHeight="1">
      <c r="A260" s="7" t="inlineStr">
        <is>
          <t>15D10B083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MTR</t>
        </is>
      </c>
      <c r="E260" s="8" t="n">
        <v>1250</v>
      </c>
      <c r="F260" s="22" t="n">
        <v>46307</v>
      </c>
      <c r="G260" s="14" t="n">
        <v>46274</v>
      </c>
      <c r="H260" s="9" t="n">
        <v>0</v>
      </c>
      <c r="I260" s="17" t="n"/>
      <c r="J260" s="10" t="n"/>
      <c r="K260" s="19" t="n"/>
      <c r="L260" s="11" t="n"/>
      <c r="M260" s="21" t="n"/>
      <c r="N260" s="12" t="n">
        <v>52.59</v>
      </c>
    </row>
    <row r="261" ht="21.75" customHeight="1">
      <c r="A261" s="7" t="inlineStr">
        <is>
          <t>15D10B087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BLK</t>
        </is>
      </c>
      <c r="E261" s="8" t="n">
        <v>1200</v>
      </c>
      <c r="F261" s="22" t="n">
        <v>46307</v>
      </c>
      <c r="G261" s="14" t="n">
        <v>46269</v>
      </c>
      <c r="H261" s="9" t="n">
        <v>0</v>
      </c>
      <c r="I261" s="17" t="n"/>
      <c r="J261" s="10" t="n"/>
      <c r="K261" s="19" t="n"/>
      <c r="L261" s="11" t="n"/>
      <c r="M261" s="21" t="n"/>
      <c r="N261" s="12" t="n">
        <v>2.8</v>
      </c>
    </row>
    <row r="262" ht="21.75" customHeight="1">
      <c r="A262" s="7" t="inlineStr">
        <is>
          <t>15D10B088</t>
        </is>
      </c>
      <c r="B262" s="8" t="inlineStr">
        <is>
          <t>1177810</t>
        </is>
      </c>
      <c r="C262" s="8" t="inlineStr">
        <is>
          <t>W SUNGAZER</t>
        </is>
      </c>
      <c r="D262" s="8" t="inlineStr">
        <is>
          <t>SAN</t>
        </is>
      </c>
      <c r="E262" s="8" t="n">
        <v>602</v>
      </c>
      <c r="F262" s="22" t="n">
        <v>46307</v>
      </c>
      <c r="G262" s="14" t="n">
        <v>46269</v>
      </c>
      <c r="H262" s="9" t="inlineStr">
        <is>
          <t>-</t>
        </is>
      </c>
      <c r="I262" s="17" t="n"/>
      <c r="J262" s="10" t="n"/>
      <c r="K262" s="19" t="n"/>
      <c r="L262" s="11" t="n"/>
      <c r="M262" s="21" t="n"/>
      <c r="N262" s="12" t="inlineStr">
        <is>
          <t>-</t>
        </is>
      </c>
    </row>
    <row r="263" ht="21.75" customHeight="1">
      <c r="A263" s="7" t="inlineStr">
        <is>
          <t>15D10B124</t>
        </is>
      </c>
      <c r="B263" s="8" t="inlineStr">
        <is>
          <t>1177811K</t>
        </is>
      </c>
      <c r="C263" s="8" t="inlineStr">
        <is>
          <t>K SUNGAZER</t>
        </is>
      </c>
      <c r="D263" s="8" t="inlineStr">
        <is>
          <t>CHE</t>
        </is>
      </c>
      <c r="E263" s="8" t="n">
        <v>1517</v>
      </c>
      <c r="F263" s="22" t="n">
        <v>46307</v>
      </c>
      <c r="G263" s="14" t="n">
        <v>46272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inlineStr">
        <is>
          <t>-</t>
        </is>
      </c>
    </row>
    <row r="264" ht="21.75" customHeight="1">
      <c r="A264" s="7" t="inlineStr">
        <is>
          <t>15D10B126</t>
        </is>
      </c>
      <c r="B264" s="8" t="inlineStr">
        <is>
          <t>1177811K</t>
        </is>
      </c>
      <c r="C264" s="8" t="inlineStr">
        <is>
          <t>K SUNGAZER</t>
        </is>
      </c>
      <c r="D264" s="8" t="inlineStr">
        <is>
          <t>SHT</t>
        </is>
      </c>
      <c r="E264" s="8" t="n">
        <v>1292</v>
      </c>
      <c r="F264" s="22" t="n">
        <v>46307</v>
      </c>
      <c r="G264" s="14" t="n">
        <v>46275</v>
      </c>
      <c r="H264" s="9" t="n">
        <v>0</v>
      </c>
      <c r="I264" s="17" t="n"/>
      <c r="J264" s="10" t="n"/>
      <c r="K264" s="19" t="n"/>
      <c r="L264" s="11" t="n"/>
      <c r="M264" s="21" t="n"/>
      <c r="N264" s="12" t="n">
        <v>15.52</v>
      </c>
    </row>
    <row r="265" ht="21.75" customHeight="1">
      <c r="A265" s="7" t="inlineStr">
        <is>
          <t>15D10B142</t>
        </is>
      </c>
      <c r="B265" s="8" t="inlineStr">
        <is>
          <t>1178875</t>
        </is>
      </c>
      <c r="C265" s="8" t="inlineStr">
        <is>
          <t>W SUNGAZE SANDAL</t>
        </is>
      </c>
      <c r="D265" s="8" t="inlineStr">
        <is>
          <t>CHE</t>
        </is>
      </c>
      <c r="E265" s="8" t="n">
        <v>112</v>
      </c>
      <c r="F265" s="22" t="n">
        <v>46307</v>
      </c>
      <c r="G265" s="14" t="n">
        <v>46272</v>
      </c>
      <c r="H265" s="9" t="n">
        <v>0</v>
      </c>
      <c r="I265" s="17" t="n">
        <v>46280</v>
      </c>
      <c r="J265" s="10" t="n">
        <v>0</v>
      </c>
      <c r="K265" s="19" t="n"/>
      <c r="L265" s="11" t="n"/>
      <c r="M265" s="21" t="n"/>
      <c r="N265" s="12" t="n">
        <v>0.37</v>
      </c>
    </row>
    <row r="266" ht="21.75" customHeight="1">
      <c r="A266" s="7" t="inlineStr">
        <is>
          <t>15D10B143</t>
        </is>
      </c>
      <c r="B266" s="8" t="inlineStr">
        <is>
          <t>1178876</t>
        </is>
      </c>
      <c r="C266" s="8" t="inlineStr">
        <is>
          <t>W SUNGAZE SLIDE</t>
        </is>
      </c>
      <c r="D266" s="8" t="inlineStr">
        <is>
          <t>CHE</t>
        </is>
      </c>
      <c r="E266" s="8" t="n">
        <v>1880</v>
      </c>
      <c r="F266" s="22" t="n">
        <v>46307</v>
      </c>
      <c r="G266" s="14" t="n">
        <v>46270</v>
      </c>
      <c r="H266" s="9" t="inlineStr">
        <is>
          <t>-</t>
        </is>
      </c>
      <c r="I266" s="17" t="n"/>
      <c r="J266" s="10" t="n"/>
      <c r="K266" s="19" t="n"/>
      <c r="L266" s="11" t="n"/>
      <c r="M266" s="21" t="n"/>
      <c r="N266" s="12" t="inlineStr">
        <is>
          <t>-</t>
        </is>
      </c>
    </row>
    <row r="267" ht="21.75" customHeight="1">
      <c r="A267" s="7" t="inlineStr">
        <is>
          <t>15D10B144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CHE</t>
        </is>
      </c>
      <c r="E267" s="8" t="n">
        <v>209</v>
      </c>
      <c r="F267" s="22" t="n">
        <v>46307</v>
      </c>
      <c r="G267" s="14" t="n">
        <v>46272</v>
      </c>
      <c r="H267" s="9" t="n">
        <v>0</v>
      </c>
      <c r="I267" s="17" t="n">
        <v>46280</v>
      </c>
      <c r="J267" s="10" t="n">
        <v>0</v>
      </c>
      <c r="K267" s="19" t="n"/>
      <c r="L267" s="11" t="n"/>
      <c r="M267" s="21" t="n"/>
      <c r="N267" s="12" t="n">
        <v>0.37</v>
      </c>
    </row>
    <row r="268" ht="21.75" customHeight="1">
      <c r="A268" s="7" t="inlineStr">
        <is>
          <t>15D10B145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CHE</t>
        </is>
      </c>
      <c r="E268" s="8" t="n">
        <v>111</v>
      </c>
      <c r="F268" s="22" t="n">
        <v>46307</v>
      </c>
      <c r="G268" s="14" t="n">
        <v>46270</v>
      </c>
      <c r="H268" s="9" t="inlineStr">
        <is>
          <t>-</t>
        </is>
      </c>
      <c r="I268" s="17" t="n">
        <v>46290</v>
      </c>
      <c r="J268" s="10" t="inlineStr">
        <is>
          <t>-</t>
        </is>
      </c>
      <c r="K268" s="19" t="n"/>
      <c r="L268" s="11" t="n"/>
      <c r="M268" s="21" t="n"/>
      <c r="N268" s="12" t="inlineStr">
        <is>
          <t>-</t>
        </is>
      </c>
    </row>
    <row r="269" ht="21.75" customHeight="1">
      <c r="A269" s="7" t="inlineStr">
        <is>
          <t>15D10B006</t>
        </is>
      </c>
      <c r="B269" s="8" t="inlineStr">
        <is>
          <t>1191234K</t>
        </is>
      </c>
      <c r="C269" s="8" t="inlineStr">
        <is>
          <t>K ROZMAN</t>
        </is>
      </c>
      <c r="D269" s="8" t="inlineStr">
        <is>
          <t>CHE</t>
        </is>
      </c>
      <c r="E269" s="8" t="n">
        <v>986</v>
      </c>
      <c r="F269" s="22" t="n">
        <v>46307</v>
      </c>
      <c r="G269" s="14" t="n">
        <v>46288</v>
      </c>
      <c r="H269" s="9" t="n">
        <v>341.64</v>
      </c>
      <c r="I269" s="17" t="n"/>
      <c r="J269" s="10" t="n"/>
      <c r="K269" s="19" t="n"/>
      <c r="L269" s="11" t="n"/>
      <c r="M269" s="21" t="n"/>
      <c r="N269" s="12" t="n">
        <v>341.64</v>
      </c>
    </row>
    <row r="270" ht="21.75" customHeight="1">
      <c r="A270" s="7" t="inlineStr">
        <is>
          <t>15D10B018</t>
        </is>
      </c>
      <c r="B270" s="8" t="inlineStr">
        <is>
          <t>1177035</t>
        </is>
      </c>
      <c r="C270" s="8" t="inlineStr">
        <is>
          <t>M MINIMEL</t>
        </is>
      </c>
      <c r="D270" s="8" t="inlineStr">
        <is>
          <t>DRKS</t>
        </is>
      </c>
      <c r="E270" s="8" t="n">
        <v>1208</v>
      </c>
      <c r="F270" s="22" t="n">
        <v>46309</v>
      </c>
      <c r="G270" s="14" t="n">
        <v>46274</v>
      </c>
      <c r="H270" s="9" t="inlineStr">
        <is>
          <t>-</t>
        </is>
      </c>
      <c r="I270" s="17" t="n">
        <v>46288</v>
      </c>
      <c r="J270" s="10" t="inlineStr">
        <is>
          <t>-</t>
        </is>
      </c>
      <c r="K270" s="19" t="n"/>
      <c r="L270" s="11" t="n"/>
      <c r="M270" s="21" t="n"/>
      <c r="N270" s="12" t="inlineStr">
        <is>
          <t>-</t>
        </is>
      </c>
    </row>
    <row r="271" ht="21.75" customHeight="1">
      <c r="A271" s="7" t="inlineStr">
        <is>
          <t>15D10B024</t>
        </is>
      </c>
      <c r="B271" s="8" t="inlineStr">
        <is>
          <t>1168890</t>
        </is>
      </c>
      <c r="C271" s="8" t="inlineStr">
        <is>
          <t>W LO LOWMEL</t>
        </is>
      </c>
      <c r="D271" s="8" t="inlineStr">
        <is>
          <t>CHE</t>
        </is>
      </c>
      <c r="E271" s="8" t="n">
        <v>1044</v>
      </c>
      <c r="F271" s="22" t="n">
        <v>46309</v>
      </c>
      <c r="G271" s="14" t="n">
        <v>46261</v>
      </c>
      <c r="H271" s="9" t="n">
        <v>0</v>
      </c>
      <c r="I271" s="17" t="n">
        <v>46270</v>
      </c>
      <c r="J271" s="10" t="n">
        <v>13.01</v>
      </c>
      <c r="K271" s="19" t="n"/>
      <c r="L271" s="11" t="n"/>
      <c r="M271" s="21" t="n"/>
      <c r="N271" s="12" t="n">
        <v>118.48</v>
      </c>
    </row>
    <row r="272" ht="21.75" customHeight="1">
      <c r="A272" s="7" t="inlineStr">
        <is>
          <t>15D10B025</t>
        </is>
      </c>
      <c r="B272" s="8" t="inlineStr">
        <is>
          <t>1168890</t>
        </is>
      </c>
      <c r="C272" s="8" t="inlineStr">
        <is>
          <t>W LO LOWMEL</t>
        </is>
      </c>
      <c r="D272" s="8" t="inlineStr">
        <is>
          <t>JSM</t>
        </is>
      </c>
      <c r="E272" s="8" t="n">
        <v>1848</v>
      </c>
      <c r="F272" s="22" t="n">
        <v>46309</v>
      </c>
      <c r="G272" s="14" t="n">
        <v>46260</v>
      </c>
      <c r="H272" s="9" t="n">
        <v>0</v>
      </c>
      <c r="I272" s="17" t="n">
        <v>46290</v>
      </c>
      <c r="J272" s="10" t="n">
        <v>34.94</v>
      </c>
      <c r="K272" s="19" t="n"/>
      <c r="L272" s="11" t="n"/>
      <c r="M272" s="21" t="n"/>
      <c r="N272" s="12" t="n">
        <v>34.94</v>
      </c>
    </row>
    <row r="273" ht="21.75" customHeight="1">
      <c r="A273" s="7" t="inlineStr">
        <is>
          <t>15D10B029</t>
        </is>
      </c>
      <c r="B273" s="8" t="inlineStr">
        <is>
          <t>1175301</t>
        </is>
      </c>
      <c r="C273" s="8" t="inlineStr">
        <is>
          <t>W MINIMEL</t>
        </is>
      </c>
      <c r="D273" s="8" t="inlineStr">
        <is>
          <t>BLK</t>
        </is>
      </c>
      <c r="E273" s="8" t="n">
        <v>3307</v>
      </c>
      <c r="F273" s="22" t="n">
        <v>46309</v>
      </c>
      <c r="G273" s="14" t="n">
        <v>46281</v>
      </c>
      <c r="H273" s="9" t="n">
        <v>0</v>
      </c>
      <c r="I273" s="17" t="n"/>
      <c r="J273" s="10" t="n"/>
      <c r="K273" s="19" t="n"/>
      <c r="L273" s="11" t="n"/>
      <c r="M273" s="21" t="n"/>
      <c r="N273" s="12" t="n">
        <v>12.83</v>
      </c>
    </row>
    <row r="274" ht="21.75" customHeight="1">
      <c r="A274" s="7" t="inlineStr">
        <is>
          <t>15D10B032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DRKS</t>
        </is>
      </c>
      <c r="E274" s="8" t="n">
        <v>1770</v>
      </c>
      <c r="F274" s="22" t="n">
        <v>46309</v>
      </c>
      <c r="G274" s="14" t="n">
        <v>46272</v>
      </c>
      <c r="H274" s="9" t="n">
        <v>0</v>
      </c>
      <c r="I274" s="17" t="n"/>
      <c r="J274" s="10" t="n"/>
      <c r="K274" s="19" t="n"/>
      <c r="L274" s="11" t="n"/>
      <c r="M274" s="21" t="n"/>
      <c r="N274" s="12" t="n">
        <v>31.54</v>
      </c>
    </row>
    <row r="275" ht="21.75" customHeight="1">
      <c r="A275" s="7" t="inlineStr">
        <is>
          <t>15D10B033</t>
        </is>
      </c>
      <c r="B275" s="8" t="inlineStr">
        <is>
          <t>1178876</t>
        </is>
      </c>
      <c r="C275" s="8" t="inlineStr">
        <is>
          <t>W SUNGAZE SLIDE</t>
        </is>
      </c>
      <c r="D275" s="8" t="inlineStr">
        <is>
          <t>BLK</t>
        </is>
      </c>
      <c r="E275" s="8" t="n">
        <v>1332</v>
      </c>
      <c r="F275" s="22" t="n">
        <v>46309</v>
      </c>
      <c r="G275" s="14" t="n">
        <v>46270</v>
      </c>
      <c r="H275" s="9" t="n">
        <v>0</v>
      </c>
      <c r="I275" s="17" t="n"/>
      <c r="J275" s="10" t="n"/>
      <c r="K275" s="19" t="n"/>
      <c r="L275" s="11" t="n"/>
      <c r="M275" s="21" t="n"/>
      <c r="N275" s="12" t="n">
        <v>656.03</v>
      </c>
    </row>
    <row r="276" ht="21.75" customHeight="1">
      <c r="A276" s="7" t="inlineStr">
        <is>
          <t>15D10B034</t>
        </is>
      </c>
      <c r="B276" s="8" t="inlineStr">
        <is>
          <t>1178876</t>
        </is>
      </c>
      <c r="C276" s="8" t="inlineStr">
        <is>
          <t>W SUNGAZE SLIDE</t>
        </is>
      </c>
      <c r="D276" s="8" t="inlineStr">
        <is>
          <t>CHE</t>
        </is>
      </c>
      <c r="E276" s="8" t="n">
        <v>1266</v>
      </c>
      <c r="F276" s="22" t="n">
        <v>46309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inlineStr">
        <is>
          <t>-</t>
        </is>
      </c>
    </row>
    <row r="277" ht="21.75" customHeight="1">
      <c r="A277" s="7" t="inlineStr">
        <is>
          <t>15D10B058</t>
        </is>
      </c>
      <c r="B277" s="8" t="inlineStr">
        <is>
          <t>1174671</t>
        </is>
      </c>
      <c r="C277" s="8" t="inlineStr">
        <is>
          <t>M TASMAN II</t>
        </is>
      </c>
      <c r="D277" s="8" t="inlineStr">
        <is>
          <t>BLTT</t>
        </is>
      </c>
      <c r="E277" s="8" t="n">
        <v>236</v>
      </c>
      <c r="F277" s="22" t="n">
        <v>46309</v>
      </c>
      <c r="G277" s="14" t="n">
        <v>46270</v>
      </c>
      <c r="H277" s="9" t="n">
        <v>0</v>
      </c>
      <c r="I277" s="17" t="n"/>
      <c r="J277" s="10" t="n"/>
      <c r="K277" s="19" t="n"/>
      <c r="L277" s="11" t="n"/>
      <c r="M277" s="21" t="n"/>
      <c r="N277" s="12" t="n">
        <v>136.5</v>
      </c>
    </row>
    <row r="278" ht="21.75" customHeight="1">
      <c r="A278" s="7" t="inlineStr">
        <is>
          <t>15D10B084</t>
        </is>
      </c>
      <c r="B278" s="8" t="inlineStr">
        <is>
          <t>1178875</t>
        </is>
      </c>
      <c r="C278" s="8" t="inlineStr">
        <is>
          <t>W SUNGAZE SANDAL</t>
        </is>
      </c>
      <c r="D278" s="8" t="inlineStr">
        <is>
          <t>CHE</t>
        </is>
      </c>
      <c r="E278" s="8" t="n">
        <v>1288</v>
      </c>
      <c r="F278" s="22" t="n">
        <v>46309</v>
      </c>
      <c r="G278" s="14" t="n">
        <v>46272</v>
      </c>
      <c r="H278" s="9" t="n">
        <v>0</v>
      </c>
      <c r="I278" s="17" t="n"/>
      <c r="J278" s="10" t="n"/>
      <c r="K278" s="19" t="n"/>
      <c r="L278" s="11" t="n"/>
      <c r="M278" s="21" t="n"/>
      <c r="N278" s="12" t="n">
        <v>0.74</v>
      </c>
    </row>
    <row r="279" ht="21.75" customHeight="1">
      <c r="A279" s="7" t="inlineStr">
        <is>
          <t>15D10B085</t>
        </is>
      </c>
      <c r="B279" s="8" t="inlineStr">
        <is>
          <t>1178875</t>
        </is>
      </c>
      <c r="C279" s="8" t="inlineStr">
        <is>
          <t>W SUNGAZE SANDAL</t>
        </is>
      </c>
      <c r="D279" s="8" t="inlineStr">
        <is>
          <t>MTR</t>
        </is>
      </c>
      <c r="E279" s="8" t="n">
        <v>770</v>
      </c>
      <c r="F279" s="22" t="n">
        <v>46309</v>
      </c>
      <c r="G279" s="14" t="n">
        <v>46272</v>
      </c>
      <c r="H279" s="9" t="n">
        <v>0</v>
      </c>
      <c r="I279" s="17" t="n"/>
      <c r="J279" s="10" t="n"/>
      <c r="K279" s="19" t="n"/>
      <c r="L279" s="11" t="n"/>
      <c r="M279" s="21" t="n"/>
      <c r="N279" s="12" t="n">
        <v>1.8</v>
      </c>
    </row>
    <row r="280" ht="21.75" customHeight="1">
      <c r="A280" s="7" t="inlineStr">
        <is>
          <t>15D10B136</t>
        </is>
      </c>
      <c r="B280" s="8" t="inlineStr">
        <is>
          <t>1175070</t>
        </is>
      </c>
      <c r="C280" s="8" t="inlineStr">
        <is>
          <t>M TASMAN II NUBUCK</t>
        </is>
      </c>
      <c r="D280" s="8" t="inlineStr">
        <is>
          <t>DRKS</t>
        </is>
      </c>
      <c r="E280" s="8" t="n">
        <v>108</v>
      </c>
      <c r="F280" s="22" t="n">
        <v>46309</v>
      </c>
      <c r="G280" s="14" t="n">
        <v>46276</v>
      </c>
      <c r="H280" s="9" t="n">
        <v>0</v>
      </c>
      <c r="I280" s="17" t="n"/>
      <c r="J280" s="10" t="n"/>
      <c r="K280" s="19" t="n"/>
      <c r="L280" s="11" t="n"/>
      <c r="M280" s="21" t="n"/>
      <c r="N280" s="12" t="n">
        <v>23.93</v>
      </c>
    </row>
    <row r="281" ht="21.75" customHeight="1">
      <c r="A281" s="7" t="inlineStr">
        <is>
          <t>15D10B140</t>
        </is>
      </c>
      <c r="B281" s="8" t="inlineStr">
        <is>
          <t>1175070</t>
        </is>
      </c>
      <c r="C281" s="8" t="inlineStr">
        <is>
          <t>M TASMAN II NUBUCK</t>
        </is>
      </c>
      <c r="D281" s="8" t="inlineStr">
        <is>
          <t>DRKS</t>
        </is>
      </c>
      <c r="E281" s="8" t="n">
        <v>108</v>
      </c>
      <c r="F281" s="22" t="n">
        <v>46309</v>
      </c>
      <c r="G281" s="14" t="n">
        <v>46277</v>
      </c>
      <c r="H281" s="9" t="n">
        <v>0</v>
      </c>
      <c r="I281" s="17" t="n"/>
      <c r="J281" s="10" t="n"/>
      <c r="K281" s="19" t="n"/>
      <c r="L281" s="11" t="n"/>
      <c r="M281" s="21" t="n"/>
      <c r="N281" s="12" t="n">
        <v>23.93</v>
      </c>
    </row>
    <row r="282" ht="21.75" customHeight="1">
      <c r="A282" s="7" t="inlineStr">
        <is>
          <t>15D10B036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461</v>
      </c>
      <c r="F282" s="22" t="n">
        <v>46312</v>
      </c>
      <c r="G282" s="14" t="n">
        <v>46273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inlineStr">
        <is>
          <t>-</t>
        </is>
      </c>
    </row>
    <row r="283" ht="21.75" customHeight="1">
      <c r="A283" s="7" t="inlineStr">
        <is>
          <t>15D10B041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BMK</t>
        </is>
      </c>
      <c r="E283" s="8" t="n">
        <v>517</v>
      </c>
      <c r="F283" s="22" t="n">
        <v>46312</v>
      </c>
      <c r="G283" s="14" t="n">
        <v>46274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inlineStr">
        <is>
          <t>-</t>
        </is>
      </c>
    </row>
    <row r="284" ht="21.75" customHeight="1">
      <c r="A284" s="7" t="inlineStr">
        <is>
          <t>15D10B042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126</v>
      </c>
      <c r="F284" s="22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inlineStr">
        <is>
          <t>-</t>
        </is>
      </c>
    </row>
    <row r="285" ht="21.75" customHeight="1">
      <c r="A285" s="7" t="inlineStr">
        <is>
          <t>15D10B043</t>
        </is>
      </c>
      <c r="B285" s="8" t="inlineStr">
        <is>
          <t>1185915</t>
        </is>
      </c>
      <c r="C285" s="8" t="inlineStr">
        <is>
          <t>M MINIMEL LEATHER</t>
        </is>
      </c>
      <c r="D285" s="8" t="inlineStr">
        <is>
          <t>BMK</t>
        </is>
      </c>
      <c r="E285" s="8" t="n">
        <v>108</v>
      </c>
      <c r="F285" s="22" t="n">
        <v>46312</v>
      </c>
      <c r="G285" s="14" t="n">
        <v>46274</v>
      </c>
      <c r="H285" s="9" t="inlineStr">
        <is>
          <t>-</t>
        </is>
      </c>
      <c r="I285" s="17" t="n">
        <v>46287</v>
      </c>
      <c r="J285" s="10" t="inlineStr">
        <is>
          <t>-</t>
        </is>
      </c>
      <c r="K285" s="19" t="n"/>
      <c r="L285" s="11" t="n"/>
      <c r="M285" s="21" t="n"/>
      <c r="N285" s="12" t="inlineStr">
        <is>
          <t>-</t>
        </is>
      </c>
    </row>
    <row r="286" ht="21.75" customHeight="1">
      <c r="A286" s="7" t="inlineStr">
        <is>
          <t>15D10B044</t>
        </is>
      </c>
      <c r="B286" s="8" t="inlineStr">
        <is>
          <t>1185915</t>
        </is>
      </c>
      <c r="C286" s="8" t="inlineStr">
        <is>
          <t>M MINIMEL LEATHER</t>
        </is>
      </c>
      <c r="D286" s="8" t="inlineStr">
        <is>
          <t>BMK</t>
        </is>
      </c>
      <c r="E286" s="8" t="n">
        <v>187</v>
      </c>
      <c r="F286" s="22" t="n">
        <v>46312</v>
      </c>
      <c r="G286" s="14" t="n">
        <v>46274</v>
      </c>
      <c r="H286" s="9" t="inlineStr">
        <is>
          <t>-</t>
        </is>
      </c>
      <c r="I286" s="17" t="n">
        <v>46290</v>
      </c>
      <c r="J286" s="10" t="inlineStr">
        <is>
          <t>-</t>
        </is>
      </c>
      <c r="K286" s="19" t="n"/>
      <c r="L286" s="11" t="n"/>
      <c r="M286" s="21" t="n"/>
      <c r="N286" s="12" t="inlineStr">
        <is>
          <t>-</t>
        </is>
      </c>
    </row>
    <row r="287" ht="21.75" customHeight="1">
      <c r="A287" s="7" t="inlineStr">
        <is>
          <t>15D10B045</t>
        </is>
      </c>
      <c r="B287" s="8" t="inlineStr">
        <is>
          <t>1185915</t>
        </is>
      </c>
      <c r="C287" s="8" t="inlineStr">
        <is>
          <t>M MINIMEL LEATHER</t>
        </is>
      </c>
      <c r="D287" s="8" t="inlineStr">
        <is>
          <t>LUG</t>
        </is>
      </c>
      <c r="E287" s="8" t="n">
        <v>122</v>
      </c>
      <c r="F287" s="22" t="n">
        <v>46312</v>
      </c>
      <c r="G287" s="14" t="n">
        <v>46266</v>
      </c>
      <c r="H287" s="9" t="inlineStr">
        <is>
          <t>-</t>
        </is>
      </c>
      <c r="I287" s="17" t="n">
        <v>46283</v>
      </c>
      <c r="J287" s="10" t="inlineStr">
        <is>
          <t>-</t>
        </is>
      </c>
      <c r="K287" s="19" t="n"/>
      <c r="L287" s="11" t="n"/>
      <c r="M287" s="21" t="n"/>
      <c r="N287" s="12" t="inlineStr">
        <is>
          <t>-</t>
        </is>
      </c>
    </row>
    <row r="288" ht="21.75" customHeight="1">
      <c r="A288" s="7" t="inlineStr">
        <is>
          <t>15D10B046</t>
        </is>
      </c>
      <c r="B288" s="8" t="inlineStr">
        <is>
          <t>1185915</t>
        </is>
      </c>
      <c r="C288" s="8" t="inlineStr">
        <is>
          <t>M MINIMEL LEATHER</t>
        </is>
      </c>
      <c r="D288" s="8" t="inlineStr">
        <is>
          <t>BMK</t>
        </is>
      </c>
      <c r="E288" s="8" t="n">
        <v>108</v>
      </c>
      <c r="F288" s="22" t="n">
        <v>46312</v>
      </c>
      <c r="G288" s="14" t="n">
        <v>46274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inlineStr">
        <is>
          <t>-</t>
        </is>
      </c>
    </row>
    <row r="289" ht="21.75" customHeight="1">
      <c r="A289" s="7" t="inlineStr">
        <is>
          <t>15D10B066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inlineStr">
        <is>
          <t>-</t>
        </is>
      </c>
    </row>
    <row r="290" ht="21.75" customHeight="1">
      <c r="A290" s="7" t="inlineStr">
        <is>
          <t>15D10B067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2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inlineStr">
        <is>
          <t>-</t>
        </is>
      </c>
    </row>
    <row r="291" ht="21.75" customHeight="1">
      <c r="A291" s="7" t="inlineStr">
        <is>
          <t>15D10B068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CHE</t>
        </is>
      </c>
      <c r="E291" s="8" t="n">
        <v>400</v>
      </c>
      <c r="F291" s="22" t="n">
        <v>46312</v>
      </c>
      <c r="G291" s="14" t="n">
        <v>46286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inlineStr">
        <is>
          <t>-</t>
        </is>
      </c>
    </row>
    <row r="292" ht="21.75" customHeight="1">
      <c r="A292" s="7" t="inlineStr">
        <is>
          <t>15D10B069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108</v>
      </c>
      <c r="F292" s="22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inlineStr">
        <is>
          <t>-</t>
        </is>
      </c>
    </row>
    <row r="293" ht="21.75" customHeight="1">
      <c r="A293" s="7" t="inlineStr">
        <is>
          <t>15D10B070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108</v>
      </c>
      <c r="F293" s="22" t="n">
        <v>46312</v>
      </c>
      <c r="G293" s="14" t="n">
        <v>46283</v>
      </c>
      <c r="H293" s="9" t="n">
        <v>0</v>
      </c>
      <c r="I293" s="17" t="n"/>
      <c r="J293" s="10" t="n"/>
      <c r="K293" s="19" t="n"/>
      <c r="L293" s="11" t="n"/>
      <c r="M293" s="21" t="n"/>
      <c r="N293" s="12" t="n">
        <v>42.22</v>
      </c>
    </row>
    <row r="294" ht="21.75" customHeight="1">
      <c r="A294" s="7" t="inlineStr">
        <is>
          <t>15D10B071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108</v>
      </c>
      <c r="F294" s="22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inlineStr">
        <is>
          <t>-</t>
        </is>
      </c>
    </row>
    <row r="295" ht="21.75" customHeight="1">
      <c r="A295" s="7" t="inlineStr">
        <is>
          <t>15D10B072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114</v>
      </c>
      <c r="F295" s="22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inlineStr">
        <is>
          <t>-</t>
        </is>
      </c>
    </row>
    <row r="296" ht="21.75" customHeight="1">
      <c r="A296" s="7" t="inlineStr">
        <is>
          <t>15D10B073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118</v>
      </c>
      <c r="F296" s="22" t="n">
        <v>46312</v>
      </c>
      <c r="G296" s="14" t="n">
        <v>46286</v>
      </c>
      <c r="H296" s="9" t="inlineStr">
        <is>
          <t>-</t>
        </is>
      </c>
      <c r="I296" s="17" t="n"/>
      <c r="J296" s="10" t="n"/>
      <c r="K296" s="19" t="n"/>
      <c r="L296" s="11" t="n"/>
      <c r="M296" s="21" t="n"/>
      <c r="N296" s="12" t="inlineStr">
        <is>
          <t>-</t>
        </is>
      </c>
    </row>
    <row r="297" ht="21.75" customHeight="1">
      <c r="A297" s="7" t="inlineStr">
        <is>
          <t>15D10B074</t>
        </is>
      </c>
      <c r="B297" s="8" t="inlineStr">
        <is>
          <t>1191090</t>
        </is>
      </c>
      <c r="C297" s="8" t="inlineStr">
        <is>
          <t>M TASMAN SIGNATURE</t>
        </is>
      </c>
      <c r="D297" s="8" t="inlineStr">
        <is>
          <t>BTOL</t>
        </is>
      </c>
      <c r="E297" s="8" t="n">
        <v>108</v>
      </c>
      <c r="F297" s="22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inlineStr">
        <is>
          <t>-</t>
        </is>
      </c>
    </row>
    <row r="298" ht="21.75" customHeight="1">
      <c r="A298" s="7" t="inlineStr">
        <is>
          <t>15D10B075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BTOL</t>
        </is>
      </c>
      <c r="E298" s="8" t="n">
        <v>570</v>
      </c>
      <c r="F298" s="22" t="n">
        <v>46312</v>
      </c>
      <c r="G298" s="14" t="n">
        <v>46284</v>
      </c>
      <c r="H298" s="9" t="inlineStr">
        <is>
          <t>-</t>
        </is>
      </c>
      <c r="I298" s="17" t="n"/>
      <c r="J298" s="10" t="n"/>
      <c r="K298" s="19" t="n"/>
      <c r="L298" s="11" t="n"/>
      <c r="M298" s="21" t="n"/>
      <c r="N298" s="12" t="inlineStr">
        <is>
          <t>-</t>
        </is>
      </c>
    </row>
    <row r="299" ht="21.75" customHeight="1">
      <c r="A299" s="7" t="inlineStr">
        <is>
          <t>15D10B076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BLK</t>
        </is>
      </c>
      <c r="E299" s="8" t="n">
        <v>112</v>
      </c>
      <c r="F299" s="22" t="n">
        <v>46312</v>
      </c>
      <c r="G299" s="14" t="n">
        <v>46283</v>
      </c>
      <c r="H299" s="9" t="inlineStr">
        <is>
          <t>-</t>
        </is>
      </c>
      <c r="I299" s="17" t="n"/>
      <c r="J299" s="10" t="n"/>
      <c r="K299" s="19" t="n"/>
      <c r="L299" s="11" t="n"/>
      <c r="M299" s="21" t="n"/>
      <c r="N299" s="12" t="inlineStr">
        <is>
          <t>-</t>
        </is>
      </c>
    </row>
    <row r="300" ht="21.75" customHeight="1">
      <c r="A300" s="7" t="inlineStr">
        <is>
          <t>15D10B077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CHE</t>
        </is>
      </c>
      <c r="E300" s="8" t="n">
        <v>114</v>
      </c>
      <c r="F300" s="22" t="n">
        <v>46312</v>
      </c>
      <c r="G300" s="14" t="n">
        <v>46286</v>
      </c>
      <c r="H300" s="9" t="inlineStr">
        <is>
          <t>-</t>
        </is>
      </c>
      <c r="I300" s="17" t="n">
        <v>46288</v>
      </c>
      <c r="J300" s="10" t="inlineStr">
        <is>
          <t>-</t>
        </is>
      </c>
      <c r="K300" s="19" t="n"/>
      <c r="L300" s="11" t="n"/>
      <c r="M300" s="21" t="n"/>
      <c r="N300" s="12" t="inlineStr">
        <is>
          <t>-</t>
        </is>
      </c>
    </row>
    <row r="301" ht="21.75" customHeight="1">
      <c r="A301" s="7" t="inlineStr">
        <is>
          <t>15D10B096</t>
        </is>
      </c>
      <c r="B301" s="8" t="inlineStr">
        <is>
          <t>1187973</t>
        </is>
      </c>
      <c r="C301" s="8" t="inlineStr">
        <is>
          <t>W TASMAN SIGNATURE</t>
        </is>
      </c>
      <c r="D301" s="8" t="inlineStr">
        <is>
          <t>DRKS</t>
        </is>
      </c>
      <c r="E301" s="8" t="n">
        <v>1590</v>
      </c>
      <c r="F301" s="22" t="n">
        <v>46312</v>
      </c>
      <c r="G301" s="14" t="n">
        <v>46282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inlineStr">
        <is>
          <t>-</t>
        </is>
      </c>
    </row>
    <row r="302" ht="21.75" customHeight="1">
      <c r="A302" s="7" t="inlineStr">
        <is>
          <t>15D10B106</t>
        </is>
      </c>
      <c r="B302" s="8" t="inlineStr">
        <is>
          <t>1187973</t>
        </is>
      </c>
      <c r="C302" s="8" t="inlineStr">
        <is>
          <t>W TASMAN SIGNATURE</t>
        </is>
      </c>
      <c r="D302" s="8" t="inlineStr">
        <is>
          <t>LBNZ</t>
        </is>
      </c>
      <c r="E302" s="8" t="n">
        <v>6665</v>
      </c>
      <c r="F302" s="22" t="n">
        <v>46312</v>
      </c>
      <c r="G302" s="14" t="n">
        <v>46290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inlineStr">
        <is>
          <t>-</t>
        </is>
      </c>
    </row>
    <row r="303" ht="21.75" customHeight="1">
      <c r="A303" s="7" t="inlineStr">
        <is>
          <t>15D10B107</t>
        </is>
      </c>
      <c r="B303" s="8" t="inlineStr">
        <is>
          <t>1187973</t>
        </is>
      </c>
      <c r="C303" s="8" t="inlineStr">
        <is>
          <t>W TASMAN SIGNATURE</t>
        </is>
      </c>
      <c r="D303" s="8" t="inlineStr">
        <is>
          <t>LBNZ</t>
        </is>
      </c>
      <c r="E303" s="8" t="n">
        <v>1671</v>
      </c>
      <c r="F303" s="22" t="n">
        <v>46312</v>
      </c>
      <c r="G303" s="14" t="n">
        <v>46284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inlineStr">
        <is>
          <t>-</t>
        </is>
      </c>
    </row>
    <row r="304" ht="21.75" customHeight="1">
      <c r="A304" s="7" t="inlineStr">
        <is>
          <t>15D10B123</t>
        </is>
      </c>
      <c r="B304" s="8" t="inlineStr">
        <is>
          <t>1187973</t>
        </is>
      </c>
      <c r="C304" s="8" t="inlineStr">
        <is>
          <t>W TASMAN SIGNATURE</t>
        </is>
      </c>
      <c r="D304" s="8" t="inlineStr">
        <is>
          <t>MTR</t>
        </is>
      </c>
      <c r="E304" s="8" t="n">
        <v>156</v>
      </c>
      <c r="F304" s="22" t="n">
        <v>46312</v>
      </c>
      <c r="G304" s="14" t="n">
        <v>46272</v>
      </c>
      <c r="H304" s="9" t="inlineStr">
        <is>
          <t>-</t>
        </is>
      </c>
      <c r="I304" s="17" t="n"/>
      <c r="J304" s="10" t="n"/>
      <c r="K304" s="19" t="n"/>
      <c r="L304" s="11" t="n"/>
      <c r="M304" s="21" t="n"/>
      <c r="N304" s="12" t="inlineStr">
        <is>
          <t>-</t>
        </is>
      </c>
    </row>
    <row r="305" ht="21.75" customHeight="1">
      <c r="A305" s="7" t="inlineStr">
        <is>
          <t>15D10B097</t>
        </is>
      </c>
      <c r="B305" s="8" t="inlineStr">
        <is>
          <t>1187973</t>
        </is>
      </c>
      <c r="C305" s="8" t="inlineStr">
        <is>
          <t>W TASMAN SIGNATURE</t>
        </is>
      </c>
      <c r="D305" s="8" t="inlineStr">
        <is>
          <t>DRKS</t>
        </is>
      </c>
      <c r="E305" s="8" t="n">
        <v>678</v>
      </c>
      <c r="F305" s="22" t="n">
        <v>46312</v>
      </c>
      <c r="G305" s="14" t="n">
        <v>46290</v>
      </c>
      <c r="H305" s="9" t="inlineStr">
        <is>
          <t>-</t>
        </is>
      </c>
      <c r="I305" s="17" t="n"/>
      <c r="J305" s="10" t="n"/>
      <c r="K305" s="19" t="n"/>
      <c r="L305" s="11" t="n"/>
      <c r="M305" s="21" t="n"/>
      <c r="N305" s="12" t="inlineStr">
        <is>
          <t>-</t>
        </is>
      </c>
    </row>
    <row r="306" ht="21.75" customHeight="1">
      <c r="A306" s="7" t="inlineStr">
        <is>
          <t>15D10B100</t>
        </is>
      </c>
      <c r="B306" s="8" t="inlineStr">
        <is>
          <t>1187973</t>
        </is>
      </c>
      <c r="C306" s="8" t="inlineStr">
        <is>
          <t>W TASMAN SIGNATURE</t>
        </is>
      </c>
      <c r="D306" s="8" t="inlineStr">
        <is>
          <t>BLK</t>
        </is>
      </c>
      <c r="E306" s="8" t="n">
        <v>172</v>
      </c>
      <c r="F306" s="22" t="n">
        <v>46312</v>
      </c>
      <c r="G306" s="14" t="n">
        <v>46290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inlineStr">
        <is>
          <t>-</t>
        </is>
      </c>
    </row>
    <row r="307" ht="21.75" customHeight="1">
      <c r="A307" s="7" t="inlineStr">
        <is>
          <t>15D10B119</t>
        </is>
      </c>
      <c r="B307" s="8" t="inlineStr">
        <is>
          <t>1187973</t>
        </is>
      </c>
      <c r="C307" s="8" t="inlineStr">
        <is>
          <t>W TASMAN SIGNATURE</t>
        </is>
      </c>
      <c r="D307" s="8" t="inlineStr">
        <is>
          <t>LBNZ</t>
        </is>
      </c>
      <c r="E307" s="8" t="n">
        <v>272</v>
      </c>
      <c r="F307" s="22" t="n">
        <v>46312</v>
      </c>
      <c r="G307" s="14" t="n">
        <v>46290</v>
      </c>
      <c r="H307" s="9" t="inlineStr">
        <is>
          <t>-</t>
        </is>
      </c>
      <c r="I307" s="17" t="n"/>
      <c r="J307" s="10" t="n"/>
      <c r="K307" s="19" t="n"/>
      <c r="L307" s="11" t="n"/>
      <c r="M307" s="21" t="n"/>
      <c r="N307" s="12" t="inlineStr">
        <is>
          <t>-</t>
        </is>
      </c>
    </row>
    <row r="308" ht="21.75" customHeight="1">
      <c r="A308" s="7" t="inlineStr">
        <is>
          <t>15D10B060</t>
        </is>
      </c>
      <c r="B308" s="8" t="inlineStr">
        <is>
          <t>1191090</t>
        </is>
      </c>
      <c r="C308" s="8" t="inlineStr">
        <is>
          <t>M TASMAN SIGNATURE</t>
        </is>
      </c>
      <c r="D308" s="8" t="inlineStr">
        <is>
          <t>CHE</t>
        </is>
      </c>
      <c r="E308" s="8" t="n">
        <v>2806</v>
      </c>
      <c r="F308" s="22" t="n">
        <v>46314</v>
      </c>
      <c r="G308" s="14" t="n">
        <v>46287</v>
      </c>
      <c r="H308" s="9" t="n">
        <v>6.25</v>
      </c>
      <c r="I308" s="17" t="n"/>
      <c r="J308" s="10" t="n"/>
      <c r="K308" s="19" t="n"/>
      <c r="L308" s="11" t="n"/>
      <c r="M308" s="21" t="n"/>
      <c r="N308" s="12" t="n">
        <v>6.25</v>
      </c>
    </row>
    <row r="309" ht="21.75" customHeight="1">
      <c r="A309" s="7" t="inlineStr">
        <is>
          <t>15D10B005</t>
        </is>
      </c>
      <c r="B309" s="8" t="inlineStr">
        <is>
          <t>1191175</t>
        </is>
      </c>
      <c r="C309" s="8" t="inlineStr">
        <is>
          <t>W SUNGAZE SLIPPER</t>
        </is>
      </c>
      <c r="D309" s="8" t="inlineStr">
        <is>
          <t>PDW</t>
        </is>
      </c>
      <c r="E309" s="8" t="n">
        <v>602</v>
      </c>
      <c r="F309" s="22" t="n">
        <v>46314</v>
      </c>
      <c r="G309" s="14" t="n">
        <v>46259</v>
      </c>
      <c r="H309" s="9" t="inlineStr">
        <is>
          <t>-</t>
        </is>
      </c>
      <c r="I309" s="17" t="n"/>
      <c r="J309" s="10" t="n"/>
      <c r="K309" s="19" t="n"/>
      <c r="L309" s="11" t="n"/>
      <c r="M309" s="21" t="n"/>
      <c r="N309" s="12" t="inlineStr">
        <is>
          <t>-</t>
        </is>
      </c>
    </row>
    <row r="310" ht="21.75" customHeight="1">
      <c r="A310" s="7" t="inlineStr">
        <is>
          <t>15D10B010</t>
        </is>
      </c>
      <c r="B310" s="8" t="inlineStr">
        <is>
          <t>1191090</t>
        </is>
      </c>
      <c r="C310" s="8" t="inlineStr">
        <is>
          <t>M TASMAN SIGNATURE</t>
        </is>
      </c>
      <c r="D310" s="8" t="inlineStr">
        <is>
          <t>BLK</t>
        </is>
      </c>
      <c r="E310" s="8" t="n">
        <v>443</v>
      </c>
      <c r="F310" s="22" t="n">
        <v>46314</v>
      </c>
      <c r="G310" s="14" t="n">
        <v>46281</v>
      </c>
      <c r="H310" s="9" t="inlineStr">
        <is>
          <t>-</t>
        </is>
      </c>
      <c r="I310" s="17" t="n"/>
      <c r="J310" s="10" t="n"/>
      <c r="K310" s="19" t="n"/>
      <c r="L310" s="11" t="n"/>
      <c r="M310" s="21" t="n"/>
      <c r="N310" s="12" t="inlineStr">
        <is>
          <t>-</t>
        </is>
      </c>
    </row>
    <row r="311" ht="21.75" customHeight="1">
      <c r="A311" s="7" t="inlineStr">
        <is>
          <t>15D10B011</t>
        </is>
      </c>
      <c r="B311" s="8" t="inlineStr">
        <is>
          <t>1191090</t>
        </is>
      </c>
      <c r="C311" s="8" t="inlineStr">
        <is>
          <t>M TASMAN SIGNATURE</t>
        </is>
      </c>
      <c r="D311" s="8" t="inlineStr">
        <is>
          <t>BTOL</t>
        </is>
      </c>
      <c r="E311" s="8" t="n">
        <v>223</v>
      </c>
      <c r="F311" s="22" t="n">
        <v>46314</v>
      </c>
      <c r="G311" s="14" t="n">
        <v>46281</v>
      </c>
      <c r="H311" s="9" t="inlineStr">
        <is>
          <t>-</t>
        </is>
      </c>
      <c r="I311" s="17" t="n"/>
      <c r="J311" s="10" t="n"/>
      <c r="K311" s="19" t="n"/>
      <c r="L311" s="11" t="n"/>
      <c r="M311" s="21" t="n"/>
      <c r="N311" s="12" t="inlineStr">
        <is>
          <t>-</t>
        </is>
      </c>
    </row>
    <row r="312" ht="21.75" customHeight="1">
      <c r="A312" s="7" t="inlineStr">
        <is>
          <t>15D10B012</t>
        </is>
      </c>
      <c r="B312" s="8" t="inlineStr">
        <is>
          <t>1191090</t>
        </is>
      </c>
      <c r="C312" s="8" t="inlineStr">
        <is>
          <t>M TASMAN SIGNATURE</t>
        </is>
      </c>
      <c r="D312" s="8" t="inlineStr">
        <is>
          <t>CHE</t>
        </is>
      </c>
      <c r="E312" s="8" t="n">
        <v>429</v>
      </c>
      <c r="F312" s="22" t="n">
        <v>46314</v>
      </c>
      <c r="G312" s="14" t="n">
        <v>46281</v>
      </c>
      <c r="H312" s="9" t="inlineStr">
        <is>
          <t>-</t>
        </is>
      </c>
      <c r="I312" s="17" t="n"/>
      <c r="J312" s="10" t="n"/>
      <c r="K312" s="19" t="n"/>
      <c r="L312" s="11" t="n"/>
      <c r="M312" s="21" t="n"/>
      <c r="N312" s="12" t="inlineStr">
        <is>
          <t>-</t>
        </is>
      </c>
    </row>
    <row r="313" ht="21.75" customHeight="1">
      <c r="A313" s="7" t="inlineStr">
        <is>
          <t>15D10B013</t>
        </is>
      </c>
      <c r="B313" s="8" t="inlineStr">
        <is>
          <t>1191090</t>
        </is>
      </c>
      <c r="C313" s="8" t="inlineStr">
        <is>
          <t>M TASMAN SIGNATURE</t>
        </is>
      </c>
      <c r="D313" s="8" t="inlineStr">
        <is>
          <t>DMLB</t>
        </is>
      </c>
      <c r="E313" s="8" t="n">
        <v>223</v>
      </c>
      <c r="F313" s="22" t="n">
        <v>46314</v>
      </c>
      <c r="G313" s="14" t="n">
        <v>46282</v>
      </c>
      <c r="H313" s="9" t="n">
        <v>40.65</v>
      </c>
      <c r="I313" s="17" t="n">
        <v>46284</v>
      </c>
      <c r="J313" s="10" t="n">
        <v>40.65</v>
      </c>
      <c r="K313" s="19" t="n"/>
      <c r="L313" s="11" t="n"/>
      <c r="M313" s="21" t="n"/>
      <c r="N313" s="12" t="n">
        <v>40.65</v>
      </c>
    </row>
    <row r="314" ht="21.75" customHeight="1">
      <c r="A314" s="7" t="inlineStr">
        <is>
          <t>15D10B020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DKC</t>
        </is>
      </c>
      <c r="E314" s="8" t="n">
        <v>172</v>
      </c>
      <c r="F314" s="22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21" t="n"/>
      <c r="N314" s="12" t="n">
        <v>69.90000000000001</v>
      </c>
    </row>
    <row r="315" ht="21.75" customHeight="1">
      <c r="A315" s="7" t="inlineStr">
        <is>
          <t>15D10B037</t>
        </is>
      </c>
      <c r="B315" s="8" t="inlineStr">
        <is>
          <t>1177035</t>
        </is>
      </c>
      <c r="C315" s="8" t="inlineStr">
        <is>
          <t>M MINIMEL</t>
        </is>
      </c>
      <c r="D315" s="8" t="inlineStr">
        <is>
          <t>DRKS</t>
        </is>
      </c>
      <c r="E315" s="8" t="n">
        <v>120</v>
      </c>
      <c r="F315" s="22" t="n">
        <v>46314</v>
      </c>
      <c r="G315" s="14" t="n">
        <v>46280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inlineStr">
        <is>
          <t>-</t>
        </is>
      </c>
    </row>
    <row r="316" ht="21.75" customHeight="1">
      <c r="A316" s="7" t="inlineStr">
        <is>
          <t>15D10B038</t>
        </is>
      </c>
      <c r="B316" s="8" t="inlineStr">
        <is>
          <t>1185915</t>
        </is>
      </c>
      <c r="C316" s="8" t="inlineStr">
        <is>
          <t>M MINIMEL LEATHER</t>
        </is>
      </c>
      <c r="D316" s="8" t="inlineStr">
        <is>
          <t>BMK</t>
        </is>
      </c>
      <c r="E316" s="8" t="n">
        <v>2471</v>
      </c>
      <c r="F316" s="22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inlineStr">
        <is>
          <t>-</t>
        </is>
      </c>
    </row>
    <row r="317" ht="21.75" customHeight="1">
      <c r="A317" s="7" t="inlineStr">
        <is>
          <t>15D10B039</t>
        </is>
      </c>
      <c r="B317" s="8" t="inlineStr">
        <is>
          <t>1185915</t>
        </is>
      </c>
      <c r="C317" s="8" t="inlineStr">
        <is>
          <t>M MINIMEL LEATHER</t>
        </is>
      </c>
      <c r="D317" s="8" t="inlineStr">
        <is>
          <t>LUG</t>
        </is>
      </c>
      <c r="E317" s="8" t="n">
        <v>3454</v>
      </c>
      <c r="F317" s="22" t="n">
        <v>46314</v>
      </c>
      <c r="G317" s="14" t="n">
        <v>46269</v>
      </c>
      <c r="H317" s="9" t="n">
        <v>0</v>
      </c>
      <c r="I317" s="17" t="n"/>
      <c r="J317" s="10" t="n"/>
      <c r="K317" s="19" t="n"/>
      <c r="L317" s="11" t="n"/>
      <c r="M317" s="21" t="n"/>
      <c r="N317" s="12" t="n">
        <v>177.63</v>
      </c>
    </row>
    <row r="318" ht="21.75" customHeight="1">
      <c r="A318" s="7" t="inlineStr">
        <is>
          <t>15D10B040</t>
        </is>
      </c>
      <c r="B318" s="8" t="inlineStr">
        <is>
          <t>1185915</t>
        </is>
      </c>
      <c r="C318" s="8" t="inlineStr">
        <is>
          <t>M MINIMEL LEATHER</t>
        </is>
      </c>
      <c r="D318" s="8" t="inlineStr">
        <is>
          <t>LUG</t>
        </is>
      </c>
      <c r="E318" s="8" t="n">
        <v>439</v>
      </c>
      <c r="F318" s="22" t="n">
        <v>46314</v>
      </c>
      <c r="G318" s="14" t="n">
        <v>46266</v>
      </c>
      <c r="H318" s="9" t="inlineStr">
        <is>
          <t>-</t>
        </is>
      </c>
      <c r="I318" s="17" t="n">
        <v>46286</v>
      </c>
      <c r="J318" s="10" t="inlineStr">
        <is>
          <t>-</t>
        </is>
      </c>
      <c r="K318" s="19" t="n"/>
      <c r="L318" s="11" t="n"/>
      <c r="M318" s="21" t="n"/>
      <c r="N318" s="12" t="inlineStr">
        <is>
          <t>-</t>
        </is>
      </c>
    </row>
    <row r="319" ht="21.75" customHeight="1">
      <c r="A319" s="7" t="inlineStr">
        <is>
          <t>15D10B051</t>
        </is>
      </c>
      <c r="B319" s="8" t="inlineStr">
        <is>
          <t>1180011</t>
        </is>
      </c>
      <c r="C319" s="8" t="inlineStr">
        <is>
          <t>M SUNGAZER</t>
        </is>
      </c>
      <c r="D319" s="8" t="inlineStr">
        <is>
          <t>CHE</t>
        </is>
      </c>
      <c r="E319" s="8" t="n">
        <v>602</v>
      </c>
      <c r="F319" s="22" t="n">
        <v>46314</v>
      </c>
      <c r="G319" s="14" t="n">
        <v>46262</v>
      </c>
      <c r="H319" s="9" t="n">
        <v>0</v>
      </c>
      <c r="I319" s="17" t="n"/>
      <c r="J319" s="10" t="n"/>
      <c r="K319" s="19" t="n"/>
      <c r="L319" s="11" t="n"/>
      <c r="M319" s="21" t="n"/>
      <c r="N319" s="12" t="n">
        <v>13.99</v>
      </c>
    </row>
    <row r="320" ht="21.75" customHeight="1">
      <c r="A320" s="7" t="inlineStr">
        <is>
          <t>15D10B052</t>
        </is>
      </c>
      <c r="B320" s="8" t="inlineStr">
        <is>
          <t>1180011</t>
        </is>
      </c>
      <c r="C320" s="8" t="inlineStr">
        <is>
          <t>M SUNGAZER</t>
        </is>
      </c>
      <c r="D320" s="8" t="inlineStr">
        <is>
          <t>GYX</t>
        </is>
      </c>
      <c r="E320" s="8" t="n">
        <v>402</v>
      </c>
      <c r="F320" s="22" t="n">
        <v>46314</v>
      </c>
      <c r="G320" s="14" t="n">
        <v>46268</v>
      </c>
      <c r="H320" s="9" t="n">
        <v>0</v>
      </c>
      <c r="I320" s="17" t="n">
        <v>46280</v>
      </c>
      <c r="J320" s="10" t="n">
        <v>0</v>
      </c>
      <c r="K320" s="19" t="n"/>
      <c r="L320" s="11" t="n"/>
      <c r="M320" s="21" t="n"/>
      <c r="N320" s="12" t="n">
        <v>19.13</v>
      </c>
    </row>
    <row r="321" ht="21.75" customHeight="1">
      <c r="A321" s="7" t="inlineStr">
        <is>
          <t>15D10B055</t>
        </is>
      </c>
      <c r="B321" s="8" t="inlineStr">
        <is>
          <t>1174671</t>
        </is>
      </c>
      <c r="C321" s="8" t="inlineStr">
        <is>
          <t>M TASMAN II</t>
        </is>
      </c>
      <c r="D321" s="8" t="inlineStr">
        <is>
          <t>BLTT</t>
        </is>
      </c>
      <c r="E321" s="8" t="n">
        <v>113</v>
      </c>
      <c r="F321" s="22" t="n">
        <v>46314</v>
      </c>
      <c r="G321" s="14" t="n">
        <v>46270</v>
      </c>
      <c r="H321" s="9" t="n">
        <v>0</v>
      </c>
      <c r="I321" s="17" t="n">
        <v>46281</v>
      </c>
      <c r="J321" s="10" t="n">
        <v>0</v>
      </c>
      <c r="K321" s="19" t="n"/>
      <c r="L321" s="11" t="n"/>
      <c r="M321" s="21" t="n"/>
      <c r="N321" s="12" t="n">
        <v>65.59</v>
      </c>
    </row>
    <row r="322" ht="21.75" customHeight="1">
      <c r="A322" s="7" t="inlineStr">
        <is>
          <t>15D10B056</t>
        </is>
      </c>
      <c r="B322" s="8" t="inlineStr">
        <is>
          <t>1175070</t>
        </is>
      </c>
      <c r="C322" s="8" t="inlineStr">
        <is>
          <t>M TASMAN II NUBUCK</t>
        </is>
      </c>
      <c r="D322" s="8" t="inlineStr">
        <is>
          <t>DKC</t>
        </is>
      </c>
      <c r="E322" s="8" t="n">
        <v>118</v>
      </c>
      <c r="F322" s="22" t="n">
        <v>46314</v>
      </c>
      <c r="G322" s="14" t="n">
        <v>46280</v>
      </c>
      <c r="H322" s="9" t="n">
        <v>0</v>
      </c>
      <c r="I322" s="17" t="n">
        <v>46286</v>
      </c>
      <c r="J322" s="10" t="n">
        <v>0</v>
      </c>
      <c r="K322" s="19" t="n"/>
      <c r="L322" s="11" t="n"/>
      <c r="M322" s="21" t="n"/>
      <c r="N322" s="12" t="n">
        <v>23.69</v>
      </c>
    </row>
    <row r="323" ht="21.75" customHeight="1">
      <c r="A323" s="7" t="inlineStr">
        <is>
          <t>15D10B057</t>
        </is>
      </c>
      <c r="B323" s="8" t="inlineStr">
        <is>
          <t>1175070</t>
        </is>
      </c>
      <c r="C323" s="8" t="inlineStr">
        <is>
          <t>M TASMAN II NUBUCK</t>
        </is>
      </c>
      <c r="D323" s="8" t="inlineStr">
        <is>
          <t>DRKS</t>
        </is>
      </c>
      <c r="E323" s="8" t="n">
        <v>122</v>
      </c>
      <c r="F323" s="22" t="n">
        <v>46314</v>
      </c>
      <c r="G323" s="14" t="n">
        <v>46277</v>
      </c>
      <c r="H323" s="9" t="n">
        <v>0</v>
      </c>
      <c r="I323" s="17" t="n"/>
      <c r="J323" s="10" t="n"/>
      <c r="K323" s="19" t="n"/>
      <c r="L323" s="11" t="n"/>
      <c r="M323" s="21" t="n"/>
      <c r="N323" s="12" t="n">
        <v>23.93</v>
      </c>
    </row>
    <row r="324" ht="21.75" customHeight="1">
      <c r="A324" s="7" t="inlineStr">
        <is>
          <t>15D10B059</t>
        </is>
      </c>
      <c r="B324" s="8" t="inlineStr">
        <is>
          <t>1191090</t>
        </is>
      </c>
      <c r="C324" s="8" t="inlineStr">
        <is>
          <t>M TASMAN SIGNATURE</t>
        </is>
      </c>
      <c r="D324" s="8" t="inlineStr">
        <is>
          <t>BLK</t>
        </is>
      </c>
      <c r="E324" s="8" t="n">
        <v>1185</v>
      </c>
      <c r="F324" s="22" t="n">
        <v>46314</v>
      </c>
      <c r="G324" s="14" t="n">
        <v>46283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inlineStr">
        <is>
          <t>-</t>
        </is>
      </c>
    </row>
    <row r="325" ht="21.75" customHeight="1">
      <c r="A325" s="7" t="inlineStr">
        <is>
          <t>15D10B061</t>
        </is>
      </c>
      <c r="B325" s="8" t="inlineStr">
        <is>
          <t>1191090</t>
        </is>
      </c>
      <c r="C325" s="8" t="inlineStr">
        <is>
          <t>M TASMAN SIGNATURE</t>
        </is>
      </c>
      <c r="D325" s="8" t="inlineStr">
        <is>
          <t>BLK</t>
        </is>
      </c>
      <c r="E325" s="8" t="n">
        <v>653</v>
      </c>
      <c r="F325" s="22" t="n">
        <v>46314</v>
      </c>
      <c r="G325" s="14" t="n">
        <v>46283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inlineStr">
        <is>
          <t>-</t>
        </is>
      </c>
    </row>
    <row r="326" ht="21.75" customHeight="1">
      <c r="A326" s="7" t="inlineStr">
        <is>
          <t>15D10B062</t>
        </is>
      </c>
      <c r="B326" s="8" t="inlineStr">
        <is>
          <t>1191090</t>
        </is>
      </c>
      <c r="C326" s="8" t="inlineStr">
        <is>
          <t>M TASMAN SIGNATURE</t>
        </is>
      </c>
      <c r="D326" s="8" t="inlineStr">
        <is>
          <t>CHE</t>
        </is>
      </c>
      <c r="E326" s="8" t="n">
        <v>337</v>
      </c>
      <c r="F326" s="22" t="n">
        <v>46314</v>
      </c>
      <c r="G326" s="14" t="n">
        <v>46284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inlineStr">
        <is>
          <t>-</t>
        </is>
      </c>
    </row>
    <row r="327" ht="21.75" customHeight="1">
      <c r="A327" s="7" t="inlineStr">
        <is>
          <t>15D10B063</t>
        </is>
      </c>
      <c r="B327" s="8" t="inlineStr">
        <is>
          <t>1191090</t>
        </is>
      </c>
      <c r="C327" s="8" t="inlineStr">
        <is>
          <t>M TASMAN SIGNATURE</t>
        </is>
      </c>
      <c r="D327" s="8" t="inlineStr">
        <is>
          <t>BLK</t>
        </is>
      </c>
      <c r="E327" s="8" t="n">
        <v>170</v>
      </c>
      <c r="F327" s="22" t="n">
        <v>46314</v>
      </c>
      <c r="G327" s="14" t="n">
        <v>46283</v>
      </c>
      <c r="H327" s="9" t="inlineStr">
        <is>
          <t>-</t>
        </is>
      </c>
      <c r="I327" s="17" t="n"/>
      <c r="J327" s="10" t="n"/>
      <c r="K327" s="19" t="n"/>
      <c r="L327" s="11" t="n"/>
      <c r="M327" s="21" t="n"/>
      <c r="N327" s="12" t="inlineStr">
        <is>
          <t>-</t>
        </is>
      </c>
    </row>
    <row r="328" ht="21.75" customHeight="1">
      <c r="A328" s="7" t="inlineStr">
        <is>
          <t>15D10B064</t>
        </is>
      </c>
      <c r="B328" s="8" t="inlineStr">
        <is>
          <t>1191090</t>
        </is>
      </c>
      <c r="C328" s="8" t="inlineStr">
        <is>
          <t>M TASMAN SIGNATURE</t>
        </is>
      </c>
      <c r="D328" s="8" t="inlineStr">
        <is>
          <t>BTOL</t>
        </is>
      </c>
      <c r="E328" s="8" t="n">
        <v>112</v>
      </c>
      <c r="F328" s="22" t="n">
        <v>46314</v>
      </c>
      <c r="G328" s="14" t="n">
        <v>46284</v>
      </c>
      <c r="H328" s="9" t="inlineStr">
        <is>
          <t>-</t>
        </is>
      </c>
      <c r="I328" s="17" t="n"/>
      <c r="J328" s="10" t="n"/>
      <c r="K328" s="19" t="n"/>
      <c r="L328" s="11" t="n"/>
      <c r="M328" s="21" t="n"/>
      <c r="N328" s="12" t="inlineStr">
        <is>
          <t>-</t>
        </is>
      </c>
    </row>
    <row r="329" ht="21.75" customHeight="1">
      <c r="A329" s="7" t="inlineStr">
        <is>
          <t>15D10B065</t>
        </is>
      </c>
      <c r="B329" s="8" t="inlineStr">
        <is>
          <t>1191090</t>
        </is>
      </c>
      <c r="C329" s="8" t="inlineStr">
        <is>
          <t>M TASMAN SIGNATURE</t>
        </is>
      </c>
      <c r="D329" s="8" t="inlineStr">
        <is>
          <t>CHE</t>
        </is>
      </c>
      <c r="E329" s="8" t="n">
        <v>521</v>
      </c>
      <c r="F329" s="22" t="n">
        <v>46314</v>
      </c>
      <c r="G329" s="14" t="n">
        <v>46284</v>
      </c>
      <c r="H329" s="9" t="inlineStr">
        <is>
          <t>-</t>
        </is>
      </c>
      <c r="I329" s="17" t="n"/>
      <c r="J329" s="10" t="n"/>
      <c r="K329" s="19" t="n"/>
      <c r="L329" s="11" t="n"/>
      <c r="M329" s="21" t="n"/>
      <c r="N329" s="12" t="inlineStr">
        <is>
          <t>-</t>
        </is>
      </c>
    </row>
    <row r="330" ht="21.75" customHeight="1">
      <c r="A330" s="7" t="inlineStr">
        <is>
          <t>15D10B081</t>
        </is>
      </c>
      <c r="B330" s="8" t="inlineStr">
        <is>
          <t>1175301</t>
        </is>
      </c>
      <c r="C330" s="8" t="inlineStr">
        <is>
          <t>W MINIMEL</t>
        </is>
      </c>
      <c r="D330" s="8" t="inlineStr">
        <is>
          <t>MDSD</t>
        </is>
      </c>
      <c r="E330" s="8" t="n">
        <v>112</v>
      </c>
      <c r="F330" s="22" t="n">
        <v>46314</v>
      </c>
      <c r="G330" s="14" t="n">
        <v>46282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inlineStr">
        <is>
          <t>-</t>
        </is>
      </c>
    </row>
    <row r="331" ht="21.75" customHeight="1">
      <c r="A331" s="7" t="inlineStr">
        <is>
          <t>15D10B127</t>
        </is>
      </c>
      <c r="B331" s="8" t="inlineStr">
        <is>
          <t>1177811K</t>
        </is>
      </c>
      <c r="C331" s="8" t="inlineStr">
        <is>
          <t>K SUNGAZER</t>
        </is>
      </c>
      <c r="D331" s="8" t="inlineStr">
        <is>
          <t>CHE</t>
        </is>
      </c>
      <c r="E331" s="8" t="n">
        <v>202</v>
      </c>
      <c r="F331" s="22" t="n">
        <v>46314</v>
      </c>
      <c r="G331" s="14" t="n">
        <v>46270</v>
      </c>
      <c r="H331" s="9" t="inlineStr">
        <is>
          <t>-</t>
        </is>
      </c>
      <c r="I331" s="17" t="n"/>
      <c r="J331" s="10" t="n"/>
      <c r="K331" s="19" t="n"/>
      <c r="L331" s="11" t="n"/>
      <c r="M331" s="21" t="n"/>
      <c r="N331" s="12" t="inlineStr">
        <is>
          <t>-</t>
        </is>
      </c>
    </row>
    <row r="332" ht="21.75" customHeight="1">
      <c r="A332" s="7" t="inlineStr">
        <is>
          <t>15D10B128</t>
        </is>
      </c>
      <c r="B332" s="8" t="inlineStr">
        <is>
          <t>1177811K</t>
        </is>
      </c>
      <c r="C332" s="8" t="inlineStr">
        <is>
          <t>K SUNGAZER</t>
        </is>
      </c>
      <c r="D332" s="8" t="inlineStr">
        <is>
          <t>SHT</t>
        </is>
      </c>
      <c r="E332" s="8" t="n">
        <v>152</v>
      </c>
      <c r="F332" s="22" t="n">
        <v>46314</v>
      </c>
      <c r="G332" s="14" t="n">
        <v>46276</v>
      </c>
      <c r="H332" s="9" t="inlineStr">
        <is>
          <t>-</t>
        </is>
      </c>
      <c r="I332" s="17" t="n"/>
      <c r="J332" s="10" t="n"/>
      <c r="K332" s="19" t="n"/>
      <c r="L332" s="11" t="n"/>
      <c r="M332" s="21" t="n"/>
      <c r="N332" s="12" t="inlineStr">
        <is>
          <t>-</t>
        </is>
      </c>
    </row>
    <row r="333" ht="21.75" customHeight="1">
      <c r="A333" s="7" t="inlineStr">
        <is>
          <t>15D10B129</t>
        </is>
      </c>
      <c r="B333" s="8" t="inlineStr">
        <is>
          <t>1152410K</t>
        </is>
      </c>
      <c r="C333" s="8" t="inlineStr">
        <is>
          <t>K LOWMEL</t>
        </is>
      </c>
      <c r="D333" s="8" t="inlineStr">
        <is>
          <t>SAN</t>
        </is>
      </c>
      <c r="E333" s="8" t="n">
        <v>240</v>
      </c>
      <c r="F333" s="22" t="n">
        <v>46314</v>
      </c>
      <c r="G333" s="14" t="n">
        <v>46270</v>
      </c>
      <c r="H333" s="9" t="inlineStr">
        <is>
          <t>-</t>
        </is>
      </c>
      <c r="I333" s="17" t="n"/>
      <c r="J333" s="10" t="n"/>
      <c r="K333" s="19" t="n"/>
      <c r="L333" s="11" t="n"/>
      <c r="M333" s="21" t="n"/>
      <c r="N333" s="12" t="inlineStr">
        <is>
          <t>-</t>
        </is>
      </c>
    </row>
    <row r="334" ht="21.75" customHeight="1">
      <c r="A334" s="7" t="inlineStr">
        <is>
          <t>15D10B130</t>
        </is>
      </c>
      <c r="B334" s="8" t="inlineStr">
        <is>
          <t>1175070</t>
        </is>
      </c>
      <c r="C334" s="8" t="inlineStr">
        <is>
          <t>M TASMAN II NUBUCK</t>
        </is>
      </c>
      <c r="D334" s="8" t="inlineStr">
        <is>
          <t>DRKS</t>
        </is>
      </c>
      <c r="E334" s="8" t="n">
        <v>3270</v>
      </c>
      <c r="F334" s="22" t="n">
        <v>46314</v>
      </c>
      <c r="G334" s="14" t="n"/>
      <c r="H334" s="9" t="n"/>
      <c r="I334" s="17" t="n"/>
      <c r="J334" s="10" t="n"/>
      <c r="K334" s="19" t="n"/>
      <c r="L334" s="11" t="n"/>
      <c r="M334" s="21" t="n"/>
      <c r="N334" s="12" t="n">
        <v>1289.45</v>
      </c>
    </row>
    <row r="335" ht="21.75" customHeight="1">
      <c r="A335" s="7" t="inlineStr">
        <is>
          <t>15D10C007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DRKS</t>
        </is>
      </c>
      <c r="E335" s="8" t="n">
        <v>108</v>
      </c>
      <c r="F335" s="22" t="n">
        <v>46317</v>
      </c>
      <c r="G335" s="14" t="n">
        <v>46273</v>
      </c>
      <c r="H335" s="9" t="inlineStr">
        <is>
          <t>-</t>
        </is>
      </c>
      <c r="I335" s="17" t="n"/>
      <c r="J335" s="10" t="n"/>
      <c r="K335" s="19" t="n"/>
      <c r="L335" s="11" t="n"/>
      <c r="M335" s="21" t="n"/>
      <c r="N335" s="12" t="inlineStr">
        <is>
          <t>-</t>
        </is>
      </c>
    </row>
    <row r="336" ht="21.75" customHeight="1">
      <c r="A336" s="7" t="inlineStr">
        <is>
          <t>15D10C008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2" t="n">
        <v>46317</v>
      </c>
      <c r="G336" s="14" t="n">
        <v>46273</v>
      </c>
      <c r="H336" s="9" t="inlineStr">
        <is>
          <t>-</t>
        </is>
      </c>
      <c r="I336" s="17" t="n">
        <v>46288</v>
      </c>
      <c r="J336" s="10" t="inlineStr">
        <is>
          <t>-</t>
        </is>
      </c>
      <c r="K336" s="19" t="n"/>
      <c r="L336" s="11" t="n"/>
      <c r="M336" s="21" t="n"/>
      <c r="N336" s="12" t="inlineStr">
        <is>
          <t>-</t>
        </is>
      </c>
    </row>
    <row r="337" ht="21.75" customHeight="1">
      <c r="A337" s="7" t="inlineStr">
        <is>
          <t>15D10C010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BLK</t>
        </is>
      </c>
      <c r="E337" s="8" t="n">
        <v>180</v>
      </c>
      <c r="F337" s="22" t="n">
        <v>46317</v>
      </c>
      <c r="G337" s="14" t="n">
        <v>46273</v>
      </c>
      <c r="H337" s="9" t="n">
        <v>0</v>
      </c>
      <c r="I337" s="17" t="n"/>
      <c r="J337" s="10" t="n"/>
      <c r="K337" s="19" t="n"/>
      <c r="L337" s="11" t="n"/>
      <c r="M337" s="21" t="n"/>
      <c r="N337" s="12" t="n">
        <v>1.4</v>
      </c>
    </row>
    <row r="338" ht="21.75" customHeight="1">
      <c r="A338" s="7" t="inlineStr">
        <is>
          <t>15D10C011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CHE</t>
        </is>
      </c>
      <c r="E338" s="8" t="n">
        <v>246</v>
      </c>
      <c r="F338" s="22" t="n">
        <v>46317</v>
      </c>
      <c r="G338" s="14" t="n">
        <v>46273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inlineStr">
        <is>
          <t>-</t>
        </is>
      </c>
    </row>
    <row r="339" ht="21.75" customHeight="1">
      <c r="A339" s="7" t="inlineStr">
        <is>
          <t>15D10C012</t>
        </is>
      </c>
      <c r="B339" s="8" t="inlineStr">
        <is>
          <t>1178876</t>
        </is>
      </c>
      <c r="C339" s="8" t="inlineStr">
        <is>
          <t>W SUNGAZE SLIDE</t>
        </is>
      </c>
      <c r="D339" s="8" t="inlineStr">
        <is>
          <t>BLK</t>
        </is>
      </c>
      <c r="E339" s="8" t="n">
        <v>222</v>
      </c>
      <c r="F339" s="22" t="n">
        <v>46317</v>
      </c>
      <c r="G339" s="14" t="n">
        <v>46274</v>
      </c>
      <c r="H339" s="9" t="n">
        <v>0</v>
      </c>
      <c r="I339" s="17" t="n"/>
      <c r="J339" s="10" t="n"/>
      <c r="K339" s="19" t="n"/>
      <c r="L339" s="11" t="n"/>
      <c r="M339" s="21" t="n"/>
      <c r="N339" s="12" t="n">
        <v>1.4</v>
      </c>
    </row>
    <row r="340" ht="21.75" customHeight="1">
      <c r="A340" s="7" t="inlineStr">
        <is>
          <t>15D10C013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CHE</t>
        </is>
      </c>
      <c r="E340" s="8" t="n">
        <v>306</v>
      </c>
      <c r="F340" s="22" t="n">
        <v>46317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inlineStr">
        <is>
          <t>-</t>
        </is>
      </c>
    </row>
    <row r="341" ht="21.75" customHeight="1">
      <c r="A341" s="7" t="inlineStr">
        <is>
          <t>15D10C015</t>
        </is>
      </c>
      <c r="B341" s="8" t="inlineStr">
        <is>
          <t>1185915</t>
        </is>
      </c>
      <c r="C341" s="8" t="inlineStr">
        <is>
          <t>M MINIMEL LEATHER</t>
        </is>
      </c>
      <c r="D341" s="8" t="inlineStr">
        <is>
          <t>LUG</t>
        </is>
      </c>
      <c r="E341" s="8" t="n">
        <v>1412</v>
      </c>
      <c r="F341" s="22" t="n">
        <v>46317</v>
      </c>
      <c r="G341" s="14" t="n">
        <v>46270</v>
      </c>
      <c r="H341" s="9" t="n">
        <v>0</v>
      </c>
      <c r="I341" s="17" t="n"/>
      <c r="J341" s="10" t="n"/>
      <c r="K341" s="19" t="n"/>
      <c r="L341" s="11" t="n"/>
      <c r="M341" s="21" t="n"/>
      <c r="N341" s="12" t="n">
        <v>68.34</v>
      </c>
    </row>
    <row r="342" ht="21.75" customHeight="1">
      <c r="A342" s="7" t="inlineStr">
        <is>
          <t>15D10C033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2" t="n">
        <v>46317</v>
      </c>
      <c r="G342" s="14" t="n">
        <v>46273</v>
      </c>
      <c r="H342" s="9" t="n">
        <v>0</v>
      </c>
      <c r="I342" s="17" t="n"/>
      <c r="J342" s="10" t="n"/>
      <c r="K342" s="19" t="n"/>
      <c r="L342" s="11" t="n"/>
      <c r="M342" s="21" t="n"/>
      <c r="N342" s="12" t="n">
        <v>0.37</v>
      </c>
    </row>
    <row r="343" ht="21.75" customHeight="1">
      <c r="A343" s="7" t="inlineStr">
        <is>
          <t>15D10C034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108</v>
      </c>
      <c r="F343" s="22" t="n">
        <v>46317</v>
      </c>
      <c r="G343" s="14" t="n">
        <v>46273</v>
      </c>
      <c r="H343" s="9" t="n">
        <v>0</v>
      </c>
      <c r="I343" s="17" t="n">
        <v>46287</v>
      </c>
      <c r="J343" s="10" t="n">
        <v>0</v>
      </c>
      <c r="K343" s="19" t="n"/>
      <c r="L343" s="11" t="n"/>
      <c r="M343" s="21" t="n"/>
      <c r="N343" s="12" t="n">
        <v>0.73</v>
      </c>
    </row>
    <row r="344" ht="21.75" customHeight="1">
      <c r="A344" s="7" t="inlineStr">
        <is>
          <t>15D10C035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138</v>
      </c>
      <c r="F344" s="22" t="n">
        <v>46317</v>
      </c>
      <c r="G344" s="14" t="n">
        <v>46273</v>
      </c>
      <c r="H344" s="9" t="n">
        <v>0</v>
      </c>
      <c r="I344" s="17" t="n">
        <v>46287</v>
      </c>
      <c r="J344" s="10" t="n">
        <v>0.37</v>
      </c>
      <c r="K344" s="19" t="n"/>
      <c r="L344" s="11" t="n"/>
      <c r="M344" s="21" t="n"/>
      <c r="N344" s="12" t="n">
        <v>0.37</v>
      </c>
    </row>
    <row r="345" ht="21.75" customHeight="1">
      <c r="A345" s="7" t="inlineStr">
        <is>
          <t>15D10C036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108</v>
      </c>
      <c r="F345" s="22" t="n">
        <v>46317</v>
      </c>
      <c r="G345" s="14" t="n">
        <v>46273</v>
      </c>
      <c r="H345" s="9" t="n">
        <v>0</v>
      </c>
      <c r="I345" s="17" t="n">
        <v>46287</v>
      </c>
      <c r="J345" s="10" t="n">
        <v>0.63</v>
      </c>
      <c r="K345" s="19" t="n"/>
      <c r="L345" s="11" t="n"/>
      <c r="M345" s="21" t="n"/>
      <c r="N345" s="12" t="n">
        <v>1.35</v>
      </c>
    </row>
    <row r="346" ht="21.75" customHeight="1">
      <c r="A346" s="7" t="inlineStr">
        <is>
          <t>15D10C019</t>
        </is>
      </c>
      <c r="B346" s="8" t="inlineStr">
        <is>
          <t>1191090</t>
        </is>
      </c>
      <c r="C346" s="8" t="inlineStr">
        <is>
          <t>M TASMAN SIGNATURE</t>
        </is>
      </c>
      <c r="D346" s="8" t="inlineStr">
        <is>
          <t>CHE</t>
        </is>
      </c>
      <c r="E346" s="8" t="n">
        <v>6715</v>
      </c>
      <c r="F346" s="22" t="n">
        <v>46317</v>
      </c>
      <c r="G346" s="14" t="n"/>
      <c r="H346" s="9" t="n"/>
      <c r="I346" s="17" t="n"/>
      <c r="J346" s="10" t="n"/>
      <c r="K346" s="19" t="n"/>
      <c r="L346" s="11" t="n"/>
      <c r="M346" s="21" t="n"/>
      <c r="N346" s="12" t="n">
        <v>10.75</v>
      </c>
    </row>
    <row r="347" ht="21.75" customHeight="1">
      <c r="A347" s="7" t="inlineStr">
        <is>
          <t>15D10C001</t>
        </is>
      </c>
      <c r="B347" s="8" t="inlineStr">
        <is>
          <t>1152410K</t>
        </is>
      </c>
      <c r="C347" s="8" t="inlineStr">
        <is>
          <t>K LOWMEL</t>
        </is>
      </c>
      <c r="D347" s="8" t="inlineStr">
        <is>
          <t>SAN</t>
        </is>
      </c>
      <c r="E347" s="8" t="n">
        <v>137</v>
      </c>
      <c r="F347" s="22" t="n">
        <v>46321</v>
      </c>
      <c r="G347" s="14" t="n">
        <v>46256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inlineStr">
        <is>
          <t>-</t>
        </is>
      </c>
    </row>
    <row r="348" ht="21.75" customHeight="1">
      <c r="A348" s="7" t="inlineStr">
        <is>
          <t>15D10C006</t>
        </is>
      </c>
      <c r="B348" s="8" t="inlineStr">
        <is>
          <t>1178875</t>
        </is>
      </c>
      <c r="C348" s="8" t="inlineStr">
        <is>
          <t>W SUNGAZE SANDAL</t>
        </is>
      </c>
      <c r="D348" s="8" t="inlineStr">
        <is>
          <t>DRKS</t>
        </is>
      </c>
      <c r="E348" s="8" t="n">
        <v>108</v>
      </c>
      <c r="F348" s="22" t="n">
        <v>46321</v>
      </c>
      <c r="G348" s="14" t="n">
        <v>46273</v>
      </c>
      <c r="H348" s="9" t="inlineStr">
        <is>
          <t>-</t>
        </is>
      </c>
      <c r="I348" s="17" t="n"/>
      <c r="J348" s="10" t="n"/>
      <c r="K348" s="19" t="n"/>
      <c r="L348" s="11" t="n"/>
      <c r="M348" s="21" t="n"/>
      <c r="N348" s="12" t="inlineStr">
        <is>
          <t>-</t>
        </is>
      </c>
    </row>
    <row r="349" ht="21.75" customHeight="1">
      <c r="A349" s="7" t="inlineStr">
        <is>
          <t>15D10C009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DRKS</t>
        </is>
      </c>
      <c r="E349" s="8" t="n">
        <v>108</v>
      </c>
      <c r="F349" s="22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21" t="n"/>
      <c r="N349" s="12" t="inlineStr">
        <is>
          <t>-</t>
        </is>
      </c>
    </row>
    <row r="350" ht="21.75" customHeight="1">
      <c r="A350" s="7" t="inlineStr">
        <is>
          <t>15D10C016</t>
        </is>
      </c>
      <c r="B350" s="8" t="inlineStr">
        <is>
          <t>1177035</t>
        </is>
      </c>
      <c r="C350" s="8" t="inlineStr">
        <is>
          <t>M MINIMEL</t>
        </is>
      </c>
      <c r="D350" s="8" t="inlineStr">
        <is>
          <t>DRKS</t>
        </is>
      </c>
      <c r="E350" s="8" t="n">
        <v>136</v>
      </c>
      <c r="F350" s="22" t="n">
        <v>46321</v>
      </c>
      <c r="G350" s="14" t="n">
        <v>46280</v>
      </c>
      <c r="H350" s="9" t="inlineStr">
        <is>
          <t>-</t>
        </is>
      </c>
      <c r="I350" s="17" t="n"/>
      <c r="J350" s="10" t="n"/>
      <c r="K350" s="19" t="n"/>
      <c r="L350" s="11" t="n"/>
      <c r="M350" s="21" t="n"/>
      <c r="N350" s="12" t="inlineStr">
        <is>
          <t>-</t>
        </is>
      </c>
    </row>
    <row r="351" ht="21.75" customHeight="1">
      <c r="A351" s="7" t="inlineStr">
        <is>
          <t>15D10C017</t>
        </is>
      </c>
      <c r="B351" s="8" t="inlineStr">
        <is>
          <t>1175070</t>
        </is>
      </c>
      <c r="C351" s="8" t="inlineStr">
        <is>
          <t>M TASMAN II NUBUCK</t>
        </is>
      </c>
      <c r="D351" s="8" t="inlineStr">
        <is>
          <t>DKC</t>
        </is>
      </c>
      <c r="E351" s="8" t="n">
        <v>194</v>
      </c>
      <c r="F351" s="22" t="n">
        <v>46321</v>
      </c>
      <c r="G351" s="14" t="n">
        <v>46279</v>
      </c>
      <c r="H351" s="9" t="n">
        <v>0</v>
      </c>
      <c r="I351" s="17" t="n"/>
      <c r="J351" s="10" t="n"/>
      <c r="K351" s="19" t="n"/>
      <c r="L351" s="11" t="n"/>
      <c r="M351" s="21" t="n"/>
      <c r="N351" s="12" t="n">
        <v>39.48</v>
      </c>
    </row>
    <row r="352" ht="21.75" customHeight="1">
      <c r="A352" s="7" t="inlineStr">
        <is>
          <t>15D10C025</t>
        </is>
      </c>
      <c r="B352" s="8" t="inlineStr">
        <is>
          <t>1175301</t>
        </is>
      </c>
      <c r="C352" s="8" t="inlineStr">
        <is>
          <t>W MINIMEL</t>
        </is>
      </c>
      <c r="D352" s="8" t="inlineStr">
        <is>
          <t>MDSD</t>
        </is>
      </c>
      <c r="E352" s="8" t="n">
        <v>109</v>
      </c>
      <c r="F352" s="22" t="n">
        <v>46321</v>
      </c>
      <c r="G352" s="14" t="n">
        <v>46286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inlineStr">
        <is>
          <t>-</t>
        </is>
      </c>
    </row>
    <row r="353" ht="21.75" customHeight="1">
      <c r="A353" s="7" t="inlineStr">
        <is>
          <t>15D10C031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CHE</t>
        </is>
      </c>
      <c r="E353" s="8" t="n">
        <v>114</v>
      </c>
      <c r="F353" s="22" t="n">
        <v>46321</v>
      </c>
      <c r="G353" s="14" t="n">
        <v>46273</v>
      </c>
      <c r="H353" s="9" t="inlineStr">
        <is>
          <t>-</t>
        </is>
      </c>
      <c r="I353" s="17" t="n">
        <v>46288</v>
      </c>
      <c r="J353" s="10" t="inlineStr">
        <is>
          <t>-</t>
        </is>
      </c>
      <c r="K353" s="19" t="n"/>
      <c r="L353" s="11" t="n"/>
      <c r="M353" s="21" t="n"/>
      <c r="N353" s="12" t="inlineStr">
        <is>
          <t>-</t>
        </is>
      </c>
    </row>
    <row r="354" ht="21.75" customHeight="1">
      <c r="A354" s="7" t="inlineStr">
        <is>
          <t>15D10C032</t>
        </is>
      </c>
      <c r="B354" s="8" t="inlineStr">
        <is>
          <t>1178875</t>
        </is>
      </c>
      <c r="C354" s="8" t="inlineStr">
        <is>
          <t>W SUNGAZE SANDAL</t>
        </is>
      </c>
      <c r="D354" s="8" t="inlineStr">
        <is>
          <t>MTR</t>
        </is>
      </c>
      <c r="E354" s="8" t="n">
        <v>130</v>
      </c>
      <c r="F354" s="22" t="n">
        <v>46321</v>
      </c>
      <c r="G354" s="14" t="n">
        <v>46273</v>
      </c>
      <c r="H354" s="9" t="n">
        <v>0</v>
      </c>
      <c r="I354" s="17" t="n"/>
      <c r="J354" s="10" t="n"/>
      <c r="K354" s="19" t="n"/>
      <c r="L354" s="11" t="n"/>
      <c r="M354" s="21" t="n"/>
      <c r="N354" s="12" t="n">
        <v>1.47</v>
      </c>
    </row>
    <row r="355" ht="21.75" customHeight="1">
      <c r="A355" s="7" t="inlineStr">
        <is>
          <t>15D10C037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111</v>
      </c>
      <c r="F355" s="22" t="n">
        <v>46321</v>
      </c>
      <c r="G355" s="14" t="n">
        <v>46274</v>
      </c>
      <c r="H355" s="9" t="n">
        <v>0</v>
      </c>
      <c r="I355" s="17" t="n"/>
      <c r="J355" s="10" t="n"/>
      <c r="K355" s="19" t="n"/>
      <c r="L355" s="11" t="n"/>
      <c r="M355" s="21" t="n"/>
      <c r="N355" s="12" t="n">
        <v>0.7</v>
      </c>
    </row>
    <row r="356" ht="21.75" customHeight="1">
      <c r="A356" s="7" t="inlineStr">
        <is>
          <t>15D10C050</t>
        </is>
      </c>
      <c r="B356" s="8" t="inlineStr">
        <is>
          <t>1178875</t>
        </is>
      </c>
      <c r="C356" s="8" t="inlineStr">
        <is>
          <t>W SUNGAZE SANDAL</t>
        </is>
      </c>
      <c r="D356" s="8" t="inlineStr">
        <is>
          <t>CHE</t>
        </is>
      </c>
      <c r="E356" s="8" t="n">
        <v>160</v>
      </c>
      <c r="F356" s="22" t="n">
        <v>46321</v>
      </c>
      <c r="G356" s="14" t="n">
        <v>46273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inlineStr">
        <is>
          <t>-</t>
        </is>
      </c>
    </row>
    <row r="357" ht="21.75" customHeight="1">
      <c r="A357" s="7" t="inlineStr">
        <is>
          <t>15D10C051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CHE</t>
        </is>
      </c>
      <c r="E357" s="8" t="n">
        <v>200</v>
      </c>
      <c r="F357" s="22" t="n">
        <v>46321</v>
      </c>
      <c r="G357" s="14" t="n">
        <v>46274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inlineStr">
        <is>
          <t>-</t>
        </is>
      </c>
    </row>
    <row r="358" ht="21.75" customHeight="1">
      <c r="A358" s="7" t="inlineStr">
        <is>
          <t>15D10C055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127</v>
      </c>
      <c r="F358" s="22" t="n">
        <v>46321</v>
      </c>
      <c r="G358" s="14" t="n">
        <v>46274</v>
      </c>
      <c r="H358" s="9" t="inlineStr">
        <is>
          <t>-</t>
        </is>
      </c>
      <c r="I358" s="17" t="n"/>
      <c r="J358" s="10" t="n"/>
      <c r="K358" s="19" t="n"/>
      <c r="L358" s="11" t="n"/>
      <c r="M358" s="21" t="n"/>
      <c r="N358" s="12" t="inlineStr">
        <is>
          <t>-</t>
        </is>
      </c>
    </row>
    <row r="359" ht="21.75" customHeight="1">
      <c r="A359" s="7" t="inlineStr">
        <is>
          <t>15D10A010</t>
        </is>
      </c>
      <c r="B359" s="8" t="inlineStr">
        <is>
          <t>1187973</t>
        </is>
      </c>
      <c r="C359" s="8" t="inlineStr">
        <is>
          <t>W TASMAN SIGNATURE</t>
        </is>
      </c>
      <c r="D359" s="8" t="inlineStr">
        <is>
          <t>DRKS</t>
        </is>
      </c>
      <c r="E359" s="8" t="n">
        <v>4250</v>
      </c>
      <c r="F359" s="22" t="n">
        <v>46325</v>
      </c>
      <c r="G359" s="14" t="n"/>
      <c r="H359" s="9" t="n"/>
      <c r="I359" s="17" t="n"/>
      <c r="J359" s="10" t="n"/>
      <c r="K359" s="19" t="n"/>
      <c r="L359" s="11" t="n"/>
      <c r="M359" s="21" t="n"/>
      <c r="N359" s="12" t="n">
        <v>84.79000000000001</v>
      </c>
    </row>
    <row r="360" ht="21.75" customHeight="1">
      <c r="A360" s="7" t="inlineStr">
        <is>
          <t>15D09A036</t>
        </is>
      </c>
      <c r="B360" s="8" t="inlineStr">
        <is>
          <t>1187973</t>
        </is>
      </c>
      <c r="C360" s="8" t="inlineStr">
        <is>
          <t>W TASMAN SIGNATURE</t>
        </is>
      </c>
      <c r="D360" s="8" t="inlineStr">
        <is>
          <t>LBNZ</t>
        </is>
      </c>
      <c r="E360" s="8" t="n">
        <v>15005</v>
      </c>
      <c r="F360" s="22" t="n">
        <v>46325</v>
      </c>
      <c r="G360" s="14" t="n">
        <v>46247</v>
      </c>
      <c r="H360" s="9" t="n">
        <v>0</v>
      </c>
      <c r="I360" s="17" t="n"/>
      <c r="J360" s="10" t="n"/>
      <c r="K360" s="19" t="n"/>
      <c r="L360" s="11" t="n"/>
      <c r="M360" s="21" t="n"/>
      <c r="N360" s="12" t="n">
        <v>3350.83</v>
      </c>
    </row>
    <row r="361" ht="21.75" customHeight="1">
      <c r="A361" s="7" t="inlineStr">
        <is>
          <t>15D10B095</t>
        </is>
      </c>
      <c r="B361" s="8" t="inlineStr">
        <is>
          <t>1187973</t>
        </is>
      </c>
      <c r="C361" s="8" t="inlineStr">
        <is>
          <t>W TASMAN SIGNATURE</t>
        </is>
      </c>
      <c r="D361" s="8" t="inlineStr">
        <is>
          <t>DRKS</t>
        </is>
      </c>
      <c r="E361" s="8" t="n">
        <v>3099</v>
      </c>
      <c r="F361" s="22" t="n">
        <v>46325</v>
      </c>
      <c r="G361" s="14" t="n"/>
      <c r="H361" s="9" t="n"/>
      <c r="I361" s="17" t="n"/>
      <c r="J361" s="10" t="n"/>
      <c r="K361" s="19" t="n"/>
      <c r="L361" s="11" t="n"/>
      <c r="M361" s="21" t="n"/>
      <c r="N361" s="12" t="inlineStr">
        <is>
          <t>-</t>
        </is>
      </c>
    </row>
    <row r="362" ht="21.75" customHeight="1">
      <c r="A362" s="7" t="inlineStr">
        <is>
          <t>15D11A022</t>
        </is>
      </c>
      <c r="B362" s="8" t="inlineStr">
        <is>
          <t>1194890</t>
        </is>
      </c>
      <c r="C362" s="8" t="inlineStr">
        <is>
          <t>M TASMAN NUBUCK LOGO</t>
        </is>
      </c>
      <c r="D362" s="8" t="inlineStr">
        <is>
          <t>BLK</t>
        </is>
      </c>
      <c r="E362" s="8" t="n">
        <v>211</v>
      </c>
      <c r="F362" s="22" t="n">
        <v>46328</v>
      </c>
      <c r="G362" s="14" t="n">
        <v>46282</v>
      </c>
      <c r="H362" s="9" t="n">
        <v>0</v>
      </c>
      <c r="I362" s="17" t="n"/>
      <c r="J362" s="10" t="n"/>
      <c r="K362" s="19" t="n"/>
      <c r="L362" s="11" t="n"/>
      <c r="M362" s="21" t="n"/>
      <c r="N362" s="12" t="n">
        <v>116.7</v>
      </c>
    </row>
    <row r="363" ht="21.75" customHeight="1">
      <c r="A363" s="7" t="inlineStr">
        <is>
          <t>15D11A033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RCKS</t>
        </is>
      </c>
      <c r="E363" s="8" t="n">
        <v>413</v>
      </c>
      <c r="F363" s="22" t="n">
        <v>46328</v>
      </c>
      <c r="G363" s="14" t="n">
        <v>46272</v>
      </c>
      <c r="H363" s="9" t="n">
        <v>0</v>
      </c>
      <c r="I363" s="17" t="n"/>
      <c r="J363" s="10" t="n"/>
      <c r="K363" s="19" t="n"/>
      <c r="L363" s="11" t="n"/>
      <c r="M363" s="21" t="n"/>
      <c r="N363" s="12" t="n">
        <v>120.66</v>
      </c>
    </row>
    <row r="364" ht="21.75" customHeight="1">
      <c r="A364" s="7" t="inlineStr">
        <is>
          <t>15D11A034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DKC</t>
        </is>
      </c>
      <c r="E364" s="8" t="n">
        <v>291</v>
      </c>
      <c r="F364" s="22" t="n">
        <v>46328</v>
      </c>
      <c r="G364" s="14" t="n">
        <v>46279</v>
      </c>
      <c r="H364" s="9" t="n">
        <v>0</v>
      </c>
      <c r="I364" s="17" t="n"/>
      <c r="J364" s="10" t="n"/>
      <c r="K364" s="19" t="n"/>
      <c r="L364" s="11" t="n"/>
      <c r="M364" s="21" t="n"/>
      <c r="N364" s="12" t="n">
        <v>59.22</v>
      </c>
    </row>
    <row r="365" ht="21.75" customHeight="1">
      <c r="A365" s="7" t="inlineStr">
        <is>
          <t>15D11A037</t>
        </is>
      </c>
      <c r="B365" s="8" t="inlineStr">
        <is>
          <t>1174671</t>
        </is>
      </c>
      <c r="C365" s="8" t="inlineStr">
        <is>
          <t>M TASMAN II</t>
        </is>
      </c>
      <c r="D365" s="8" t="inlineStr">
        <is>
          <t>RCKS</t>
        </is>
      </c>
      <c r="E365" s="8" t="n">
        <v>341</v>
      </c>
      <c r="F365" s="22" t="n">
        <v>46328</v>
      </c>
      <c r="G365" s="14" t="n">
        <v>46274</v>
      </c>
      <c r="H365" s="9" t="n">
        <v>0</v>
      </c>
      <c r="I365" s="17" t="n">
        <v>46286</v>
      </c>
      <c r="J365" s="10" t="n">
        <v>102.31</v>
      </c>
      <c r="K365" s="19" t="n"/>
      <c r="L365" s="11" t="n"/>
      <c r="M365" s="21" t="n"/>
      <c r="N365" s="12" t="n">
        <v>102.31</v>
      </c>
    </row>
    <row r="366" ht="21.75" customHeight="1">
      <c r="A366" s="7" t="inlineStr">
        <is>
          <t>15D11A038</t>
        </is>
      </c>
      <c r="B366" s="8" t="inlineStr">
        <is>
          <t>1175070</t>
        </is>
      </c>
      <c r="C366" s="8" t="inlineStr">
        <is>
          <t>M TASMAN II NUBUCK</t>
        </is>
      </c>
      <c r="D366" s="8" t="inlineStr">
        <is>
          <t>DKC</t>
        </is>
      </c>
      <c r="E366" s="8" t="n">
        <v>110</v>
      </c>
      <c r="F366" s="22" t="n">
        <v>46328</v>
      </c>
      <c r="G366" s="14" t="n">
        <v>46279</v>
      </c>
      <c r="H366" s="9" t="n">
        <v>0</v>
      </c>
      <c r="I366" s="17" t="n">
        <v>46290</v>
      </c>
      <c r="J366" s="10" t="n">
        <v>23.69</v>
      </c>
      <c r="K366" s="19" t="n"/>
      <c r="L366" s="11" t="n"/>
      <c r="M366" s="21" t="n"/>
      <c r="N366" s="12" t="n">
        <v>23.69</v>
      </c>
    </row>
    <row r="367" ht="21.75" customHeight="1">
      <c r="A367" s="7" t="inlineStr">
        <is>
          <t>15D11A051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110</v>
      </c>
      <c r="F367" s="22" t="n">
        <v>46328</v>
      </c>
      <c r="G367" s="14" t="n">
        <v>46273</v>
      </c>
      <c r="H367" s="9" t="inlineStr">
        <is>
          <t>-</t>
        </is>
      </c>
      <c r="I367" s="17" t="n">
        <v>46287</v>
      </c>
      <c r="J367" s="10" t="inlineStr">
        <is>
          <t>-</t>
        </is>
      </c>
      <c r="K367" s="19" t="n"/>
      <c r="L367" s="11" t="n"/>
      <c r="M367" s="21" t="n"/>
      <c r="N367" s="12" t="inlineStr">
        <is>
          <t>-</t>
        </is>
      </c>
    </row>
    <row r="368" ht="21.75" customHeight="1">
      <c r="A368" s="7" t="inlineStr">
        <is>
          <t>15D11A053</t>
        </is>
      </c>
      <c r="B368" s="8" t="inlineStr">
        <is>
          <t>1178876</t>
        </is>
      </c>
      <c r="C368" s="8" t="inlineStr">
        <is>
          <t>W SUNGAZE SLIDE</t>
        </is>
      </c>
      <c r="D368" s="8" t="inlineStr">
        <is>
          <t>CHE</t>
        </is>
      </c>
      <c r="E368" s="8" t="n">
        <v>115</v>
      </c>
      <c r="F368" s="22" t="n">
        <v>46328</v>
      </c>
      <c r="G368" s="14" t="n">
        <v>46275</v>
      </c>
      <c r="H368" s="9" t="inlineStr">
        <is>
          <t>-</t>
        </is>
      </c>
      <c r="I368" s="17" t="n"/>
      <c r="J368" s="10" t="n"/>
      <c r="K368" s="19" t="n"/>
      <c r="L368" s="11" t="n"/>
      <c r="M368" s="21" t="n"/>
      <c r="N368" s="12" t="inlineStr">
        <is>
          <t>-</t>
        </is>
      </c>
    </row>
    <row r="369" ht="21.75" customHeight="1">
      <c r="A369" s="7" t="inlineStr">
        <is>
          <t>15D11A054</t>
        </is>
      </c>
      <c r="B369" s="8" t="inlineStr">
        <is>
          <t>1178876</t>
        </is>
      </c>
      <c r="C369" s="8" t="inlineStr">
        <is>
          <t>W SUNGAZE SLIDE</t>
        </is>
      </c>
      <c r="D369" s="8" t="inlineStr">
        <is>
          <t>BLK</t>
        </is>
      </c>
      <c r="E369" s="8" t="n">
        <v>112</v>
      </c>
      <c r="F369" s="22" t="n">
        <v>46328</v>
      </c>
      <c r="G369" s="14" t="n">
        <v>46275</v>
      </c>
      <c r="H369" s="9" t="inlineStr">
        <is>
          <t>-</t>
        </is>
      </c>
      <c r="I369" s="17" t="n"/>
      <c r="J369" s="10" t="n"/>
      <c r="K369" s="19" t="n"/>
      <c r="L369" s="11" t="n"/>
      <c r="M369" s="21" t="n"/>
      <c r="N369" s="12" t="inlineStr">
        <is>
          <t>-</t>
        </is>
      </c>
    </row>
    <row r="370" ht="21.75" customHeight="1">
      <c r="A370" s="7" t="inlineStr">
        <is>
          <t>15D11A055</t>
        </is>
      </c>
      <c r="B370" s="8" t="inlineStr">
        <is>
          <t>1178876</t>
        </is>
      </c>
      <c r="C370" s="8" t="inlineStr">
        <is>
          <t>W SUNGAZE SLIDE</t>
        </is>
      </c>
      <c r="D370" s="8" t="inlineStr">
        <is>
          <t>CHE</t>
        </is>
      </c>
      <c r="E370" s="8" t="n">
        <v>110</v>
      </c>
      <c r="F370" s="22" t="n">
        <v>46328</v>
      </c>
      <c r="G370" s="14" t="n">
        <v>46275</v>
      </c>
      <c r="H370" s="9" t="inlineStr">
        <is>
          <t>-</t>
        </is>
      </c>
      <c r="I370" s="17" t="n"/>
      <c r="J370" s="10" t="n"/>
      <c r="K370" s="19" t="n"/>
      <c r="L370" s="11" t="n"/>
      <c r="M370" s="21" t="n"/>
      <c r="N370" s="12" t="inlineStr">
        <is>
          <t>-</t>
        </is>
      </c>
    </row>
    <row r="371" ht="21.75" customHeight="1">
      <c r="A371" s="7" t="inlineStr">
        <is>
          <t>15D11A056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DRKS</t>
        </is>
      </c>
      <c r="E371" s="8" t="n">
        <v>110</v>
      </c>
      <c r="F371" s="22" t="n">
        <v>46328</v>
      </c>
      <c r="G371" s="14" t="n">
        <v>46275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inlineStr">
        <is>
          <t>-</t>
        </is>
      </c>
    </row>
    <row r="372" ht="21.75" customHeight="1">
      <c r="A372" s="7" t="inlineStr">
        <is>
          <t>15D11A073</t>
        </is>
      </c>
      <c r="B372" s="8" t="inlineStr">
        <is>
          <t>1174671</t>
        </is>
      </c>
      <c r="C372" s="8" t="inlineStr">
        <is>
          <t>M TASMAN II</t>
        </is>
      </c>
      <c r="D372" s="8" t="inlineStr">
        <is>
          <t>BLTT</t>
        </is>
      </c>
      <c r="E372" s="8" t="n">
        <v>218</v>
      </c>
      <c r="F372" s="22" t="n">
        <v>46328</v>
      </c>
      <c r="G372" s="14" t="n">
        <v>46274</v>
      </c>
      <c r="H372" s="9" t="n">
        <v>0</v>
      </c>
      <c r="I372" s="17" t="n"/>
      <c r="J372" s="10" t="n"/>
      <c r="K372" s="19" t="n"/>
      <c r="L372" s="11" t="n"/>
      <c r="M372" s="21" t="n"/>
      <c r="N372" s="12" t="n">
        <v>124.17</v>
      </c>
    </row>
    <row r="373" ht="21.75" customHeight="1">
      <c r="A373" s="7" t="inlineStr">
        <is>
          <t>15D11A096</t>
        </is>
      </c>
      <c r="B373" s="8" t="inlineStr">
        <is>
          <t>1178875</t>
        </is>
      </c>
      <c r="C373" s="8" t="inlineStr">
        <is>
          <t>W SUNGAZE SANDAL</t>
        </is>
      </c>
      <c r="D373" s="8" t="inlineStr">
        <is>
          <t>MTR</t>
        </is>
      </c>
      <c r="E373" s="8" t="n">
        <v>111</v>
      </c>
      <c r="F373" s="22" t="n">
        <v>46328</v>
      </c>
      <c r="G373" s="14" t="n">
        <v>46273</v>
      </c>
      <c r="H373" s="9" t="n">
        <v>0</v>
      </c>
      <c r="I373" s="17" t="n">
        <v>46288</v>
      </c>
      <c r="J373" s="10" t="n">
        <v>0.89</v>
      </c>
      <c r="K373" s="19" t="n"/>
      <c r="L373" s="11" t="n"/>
      <c r="M373" s="21" t="n"/>
      <c r="N373" s="12" t="n">
        <v>1.26</v>
      </c>
    </row>
    <row r="374" ht="21.75" customHeight="1">
      <c r="A374" s="7" t="inlineStr">
        <is>
          <t>15D11A123</t>
        </is>
      </c>
      <c r="B374" s="8" t="inlineStr">
        <is>
          <t>1177811K</t>
        </is>
      </c>
      <c r="C374" s="8" t="inlineStr">
        <is>
          <t>K SUNGAZER</t>
        </is>
      </c>
      <c r="D374" s="8" t="inlineStr">
        <is>
          <t>CHE</t>
        </is>
      </c>
      <c r="E374" s="8" t="n">
        <v>156</v>
      </c>
      <c r="F374" s="22" t="n">
        <v>46328</v>
      </c>
      <c r="G374" s="14" t="n">
        <v>46272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inlineStr">
        <is>
          <t>-</t>
        </is>
      </c>
    </row>
    <row r="375" ht="21.75" customHeight="1">
      <c r="A375" s="7" t="inlineStr">
        <is>
          <t>15D11A124</t>
        </is>
      </c>
      <c r="B375" s="8" t="inlineStr">
        <is>
          <t>1177811K</t>
        </is>
      </c>
      <c r="C375" s="8" t="inlineStr">
        <is>
          <t>K SUNGAZER</t>
        </is>
      </c>
      <c r="D375" s="8" t="inlineStr">
        <is>
          <t>SHT</t>
        </is>
      </c>
      <c r="E375" s="8" t="n">
        <v>119</v>
      </c>
      <c r="F375" s="22" t="n">
        <v>46328</v>
      </c>
      <c r="G375" s="14" t="n">
        <v>46276</v>
      </c>
      <c r="H375" s="9" t="inlineStr">
        <is>
          <t>-</t>
        </is>
      </c>
      <c r="I375" s="17" t="n"/>
      <c r="J375" s="10" t="n"/>
      <c r="K375" s="19" t="n"/>
      <c r="L375" s="11" t="n"/>
      <c r="M375" s="21" t="n"/>
      <c r="N375" s="12" t="inlineStr">
        <is>
          <t>-</t>
        </is>
      </c>
    </row>
    <row r="376" ht="21.75" customHeight="1">
      <c r="A376" s="7" t="inlineStr">
        <is>
          <t>15D11A142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DRKS</t>
        </is>
      </c>
      <c r="E376" s="8" t="n">
        <v>180</v>
      </c>
      <c r="F376" s="22" t="n">
        <v>46328</v>
      </c>
      <c r="G376" s="14" t="n">
        <v>46279</v>
      </c>
      <c r="H376" s="9" t="n">
        <v>0</v>
      </c>
      <c r="I376" s="17" t="n"/>
      <c r="J376" s="10" t="n"/>
      <c r="K376" s="19" t="n"/>
      <c r="L376" s="11" t="n"/>
      <c r="M376" s="21" t="n"/>
      <c r="N376" s="12" t="n">
        <v>35.89</v>
      </c>
    </row>
    <row r="377" ht="21.75" customHeight="1">
      <c r="A377" s="7" t="inlineStr">
        <is>
          <t>15D11A162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112</v>
      </c>
      <c r="F377" s="22" t="n">
        <v>46328</v>
      </c>
      <c r="G377" s="14" t="n">
        <v>46274</v>
      </c>
      <c r="H377" s="9" t="inlineStr">
        <is>
          <t>-</t>
        </is>
      </c>
      <c r="I377" s="17" t="n"/>
      <c r="J377" s="10" t="n"/>
      <c r="K377" s="19" t="n"/>
      <c r="L377" s="11" t="n"/>
      <c r="M377" s="21" t="n"/>
      <c r="N377" s="12" t="inlineStr">
        <is>
          <t>-</t>
        </is>
      </c>
    </row>
    <row r="378" ht="21.75" customHeight="1">
      <c r="A378" s="7" t="inlineStr">
        <is>
          <t>15D11A024</t>
        </is>
      </c>
      <c r="B378" s="8" t="inlineStr">
        <is>
          <t>1191090</t>
        </is>
      </c>
      <c r="C378" s="8" t="inlineStr">
        <is>
          <t>M TASMAN SIGNATURE</t>
        </is>
      </c>
      <c r="D378" s="8" t="inlineStr">
        <is>
          <t>DMLB</t>
        </is>
      </c>
      <c r="E378" s="8" t="n">
        <v>340</v>
      </c>
      <c r="F378" s="22" t="n">
        <v>46335</v>
      </c>
      <c r="G378" s="14" t="n">
        <v>46283</v>
      </c>
      <c r="H378" s="9" t="n">
        <v>67.90000000000001</v>
      </c>
      <c r="I378" s="17" t="n"/>
      <c r="J378" s="10" t="n"/>
      <c r="K378" s="19" t="n"/>
      <c r="L378" s="11" t="n"/>
      <c r="M378" s="21" t="n"/>
      <c r="N378" s="12" t="n">
        <v>67.90000000000001</v>
      </c>
    </row>
    <row r="379" ht="21.75" customHeight="1">
      <c r="A379" s="7" t="inlineStr">
        <is>
          <t>15D11A050</t>
        </is>
      </c>
      <c r="B379" s="8" t="inlineStr">
        <is>
          <t>1178875</t>
        </is>
      </c>
      <c r="C379" s="8" t="inlineStr">
        <is>
          <t>W SUNGAZE SANDAL</t>
        </is>
      </c>
      <c r="D379" s="8" t="inlineStr">
        <is>
          <t>DRKS</t>
        </is>
      </c>
      <c r="E379" s="8" t="n">
        <v>1407</v>
      </c>
      <c r="F379" s="22" t="n">
        <v>46335</v>
      </c>
      <c r="G379" s="14" t="n">
        <v>46286</v>
      </c>
      <c r="H379" s="9" t="n">
        <v>382.75</v>
      </c>
      <c r="I379" s="17" t="n"/>
      <c r="J379" s="10" t="n"/>
      <c r="K379" s="19" t="n"/>
      <c r="L379" s="11" t="n"/>
      <c r="M379" s="21" t="n"/>
      <c r="N379" s="12" t="n">
        <v>382.75</v>
      </c>
    </row>
    <row r="380" ht="21.75" customHeight="1">
      <c r="A380" s="7" t="inlineStr">
        <is>
          <t>15D11A068</t>
        </is>
      </c>
      <c r="B380" s="8" t="inlineStr">
        <is>
          <t>1180011</t>
        </is>
      </c>
      <c r="C380" s="8" t="inlineStr">
        <is>
          <t>M SUNGAZER</t>
        </is>
      </c>
      <c r="D380" s="8" t="inlineStr">
        <is>
          <t>CHE</t>
        </is>
      </c>
      <c r="E380" s="8" t="n">
        <v>198</v>
      </c>
      <c r="F380" s="22" t="n">
        <v>46335</v>
      </c>
      <c r="G380" s="14" t="n">
        <v>46279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inlineStr">
        <is>
          <t>-</t>
        </is>
      </c>
    </row>
    <row r="381" ht="21.75" customHeight="1">
      <c r="A381" s="7" t="inlineStr">
        <is>
          <t>15D11A070</t>
        </is>
      </c>
      <c r="B381" s="8" t="inlineStr">
        <is>
          <t>1180011</t>
        </is>
      </c>
      <c r="C381" s="8" t="inlineStr">
        <is>
          <t>M SUNGAZER</t>
        </is>
      </c>
      <c r="D381" s="8" t="inlineStr">
        <is>
          <t>GYX</t>
        </is>
      </c>
      <c r="E381" s="8" t="n">
        <v>170</v>
      </c>
      <c r="F381" s="22" t="n">
        <v>46335</v>
      </c>
      <c r="G381" s="14" t="n">
        <v>46277</v>
      </c>
      <c r="H381" s="9" t="inlineStr">
        <is>
          <t>-</t>
        </is>
      </c>
      <c r="I381" s="17" t="n"/>
      <c r="J381" s="10" t="n"/>
      <c r="K381" s="19" t="n"/>
      <c r="L381" s="11" t="n"/>
      <c r="M381" s="21" t="n"/>
      <c r="N381" s="12" t="inlineStr">
        <is>
          <t>-</t>
        </is>
      </c>
    </row>
    <row r="382" ht="21.75" customHeight="1">
      <c r="A382" s="7" t="inlineStr">
        <is>
          <t>15D11A071</t>
        </is>
      </c>
      <c r="B382" s="8" t="inlineStr">
        <is>
          <t>1174671</t>
        </is>
      </c>
      <c r="C382" s="8" t="inlineStr">
        <is>
          <t>M TASMAN II</t>
        </is>
      </c>
      <c r="D382" s="8" t="inlineStr">
        <is>
          <t>BLTT</t>
        </is>
      </c>
      <c r="E382" s="8" t="n">
        <v>1101</v>
      </c>
      <c r="F382" s="22" t="n">
        <v>46335</v>
      </c>
      <c r="G382" s="14" t="n">
        <v>46275</v>
      </c>
      <c r="H382" s="9" t="n">
        <v>0</v>
      </c>
      <c r="I382" s="17" t="n"/>
      <c r="J382" s="10" t="n"/>
      <c r="K382" s="19" t="n"/>
      <c r="L382" s="11" t="n"/>
      <c r="M382" s="21" t="n"/>
      <c r="N382" s="12" t="n">
        <v>638.74</v>
      </c>
    </row>
    <row r="383" ht="21.75" customHeight="1">
      <c r="A383" s="7" t="inlineStr">
        <is>
          <t>15D11A072</t>
        </is>
      </c>
      <c r="B383" s="8" t="inlineStr">
        <is>
          <t>1175070</t>
        </is>
      </c>
      <c r="C383" s="8" t="inlineStr">
        <is>
          <t>M TASMAN II NUBUCK</t>
        </is>
      </c>
      <c r="D383" s="8" t="inlineStr">
        <is>
          <t>DKC</t>
        </is>
      </c>
      <c r="E383" s="8" t="n">
        <v>467</v>
      </c>
      <c r="F383" s="22" t="n">
        <v>46335</v>
      </c>
      <c r="G383" s="14" t="n">
        <v>46283</v>
      </c>
      <c r="H383" s="9" t="n">
        <v>128.82</v>
      </c>
      <c r="I383" s="17" t="n"/>
      <c r="J383" s="10" t="n"/>
      <c r="K383" s="19" t="n"/>
      <c r="L383" s="11" t="n"/>
      <c r="M383" s="21" t="n"/>
      <c r="N383" s="12" t="n">
        <v>223.57</v>
      </c>
    </row>
    <row r="384" ht="21.75" customHeight="1">
      <c r="A384" s="7" t="inlineStr">
        <is>
          <t>15D11A095</t>
        </is>
      </c>
      <c r="B384" s="8" t="inlineStr">
        <is>
          <t>1178875</t>
        </is>
      </c>
      <c r="C384" s="8" t="inlineStr">
        <is>
          <t>W SUNGAZE SANDAL</t>
        </is>
      </c>
      <c r="D384" s="8" t="inlineStr">
        <is>
          <t>MTR</t>
        </is>
      </c>
      <c r="E384" s="8" t="n">
        <v>809</v>
      </c>
      <c r="F384" s="22" t="n">
        <v>46335</v>
      </c>
      <c r="G384" s="14" t="n">
        <v>46284</v>
      </c>
      <c r="H384" s="9" t="n">
        <v>0</v>
      </c>
      <c r="I384" s="17" t="n"/>
      <c r="J384" s="10" t="n"/>
      <c r="K384" s="19" t="n"/>
      <c r="L384" s="11" t="n"/>
      <c r="M384" s="21" t="n"/>
      <c r="N384" s="12" t="n">
        <v>10.83</v>
      </c>
    </row>
    <row r="385" ht="21.75" customHeight="1">
      <c r="A385" s="7" t="inlineStr">
        <is>
          <t>15D11A103</t>
        </is>
      </c>
      <c r="B385" s="8" t="inlineStr">
        <is>
          <t>1178876</t>
        </is>
      </c>
      <c r="C385" s="8" t="inlineStr">
        <is>
          <t>W SUNGAZE SLIDE</t>
        </is>
      </c>
      <c r="D385" s="8" t="inlineStr">
        <is>
          <t>BLK</t>
        </is>
      </c>
      <c r="E385" s="8" t="n">
        <v>345</v>
      </c>
      <c r="F385" s="22" t="n">
        <v>46335</v>
      </c>
      <c r="G385" s="14" t="n">
        <v>46279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inlineStr">
        <is>
          <t>-</t>
        </is>
      </c>
    </row>
    <row r="386" ht="21.75" customHeight="1">
      <c r="A386" s="7" t="inlineStr">
        <is>
          <t>15D11A145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CHE</t>
        </is>
      </c>
      <c r="E386" s="8" t="n">
        <v>608</v>
      </c>
      <c r="F386" s="22" t="n">
        <v>46335</v>
      </c>
      <c r="G386" s="14" t="n">
        <v>46284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inlineStr">
        <is>
          <t>-</t>
        </is>
      </c>
    </row>
    <row r="387" ht="21.75" customHeight="1">
      <c r="A387" s="7" t="inlineStr">
        <is>
          <t>15D11B034</t>
        </is>
      </c>
      <c r="B387" s="8" t="inlineStr">
        <is>
          <t>1174671</t>
        </is>
      </c>
      <c r="C387" s="8" t="inlineStr">
        <is>
          <t>M TASMAN II</t>
        </is>
      </c>
      <c r="D387" s="8" t="inlineStr">
        <is>
          <t>BLTT</t>
        </is>
      </c>
      <c r="E387" s="8" t="n">
        <v>114</v>
      </c>
      <c r="F387" s="22" t="n">
        <v>46342</v>
      </c>
      <c r="G387" s="14" t="n">
        <v>46276</v>
      </c>
      <c r="H387" s="9" t="n">
        <v>0</v>
      </c>
      <c r="I387" s="17" t="n"/>
      <c r="J387" s="10" t="n"/>
      <c r="K387" s="19" t="n"/>
      <c r="L387" s="11" t="n"/>
      <c r="M387" s="21" t="n"/>
      <c r="N387" s="12" t="n">
        <v>65.59</v>
      </c>
    </row>
    <row r="388" ht="21.75" customHeight="1">
      <c r="A388" s="7" t="inlineStr">
        <is>
          <t>15D11B035</t>
        </is>
      </c>
      <c r="B388" s="8" t="inlineStr">
        <is>
          <t>1175070</t>
        </is>
      </c>
      <c r="C388" s="8" t="inlineStr">
        <is>
          <t>M TASMAN II NUBUCK</t>
        </is>
      </c>
      <c r="D388" s="8" t="inlineStr">
        <is>
          <t>DKC</t>
        </is>
      </c>
      <c r="E388" s="8" t="n">
        <v>111</v>
      </c>
      <c r="F388" s="22" t="n">
        <v>46342</v>
      </c>
      <c r="G388" s="14" t="n">
        <v>46279</v>
      </c>
      <c r="H388" s="9" t="n">
        <v>0</v>
      </c>
      <c r="I388" s="17" t="n"/>
      <c r="J388" s="10" t="n"/>
      <c r="K388" s="19" t="n"/>
      <c r="L388" s="11" t="n"/>
      <c r="M388" s="21" t="n"/>
      <c r="N388" s="12" t="n">
        <v>23.69</v>
      </c>
    </row>
    <row r="389" ht="21.75" customHeight="1">
      <c r="A389" s="7" t="inlineStr">
        <is>
          <t>15D11B036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354</v>
      </c>
      <c r="F389" s="22" t="n">
        <v>46342</v>
      </c>
      <c r="G389" s="14" t="n">
        <v>46280</v>
      </c>
      <c r="H389" s="9" t="n">
        <v>0</v>
      </c>
      <c r="I389" s="17" t="n"/>
      <c r="J389" s="10" t="n"/>
      <c r="K389" s="19" t="n"/>
      <c r="L389" s="11" t="n"/>
      <c r="M389" s="21" t="n"/>
      <c r="N389" s="12" t="n">
        <v>141.52</v>
      </c>
    </row>
    <row r="390" ht="21.75" customHeight="1">
      <c r="A390" s="7" t="inlineStr">
        <is>
          <t>15D11B013</t>
        </is>
      </c>
      <c r="B390" s="8" t="inlineStr">
        <is>
          <t>1175070</t>
        </is>
      </c>
      <c r="C390" s="8" t="inlineStr">
        <is>
          <t>M TASMAN II NUBUCK</t>
        </is>
      </c>
      <c r="D390" s="8" t="inlineStr">
        <is>
          <t>DKC</t>
        </is>
      </c>
      <c r="E390" s="8" t="n">
        <v>108</v>
      </c>
      <c r="F390" s="22" t="n">
        <v>46346</v>
      </c>
      <c r="G390" s="14" t="n">
        <v>46280</v>
      </c>
      <c r="H390" s="9" t="n">
        <v>0</v>
      </c>
      <c r="I390" s="17" t="n"/>
      <c r="J390" s="10" t="n"/>
      <c r="K390" s="19" t="n"/>
      <c r="L390" s="11" t="n"/>
      <c r="M390" s="21" t="n"/>
      <c r="N390" s="12" t="n">
        <v>23.69</v>
      </c>
    </row>
    <row r="391" ht="21.75" customHeight="1">
      <c r="A391" s="7" t="inlineStr">
        <is>
          <t>15D11B028</t>
        </is>
      </c>
      <c r="B391" s="8" t="inlineStr">
        <is>
          <t>1106872</t>
        </is>
      </c>
      <c r="C391" s="8" t="inlineStr">
        <is>
          <t>W SCUFFETTE II</t>
        </is>
      </c>
      <c r="D391" s="8" t="inlineStr">
        <is>
          <t>CHE</t>
        </is>
      </c>
      <c r="E391" s="8" t="n">
        <v>144</v>
      </c>
      <c r="F391" s="22" t="n">
        <v>46346</v>
      </c>
      <c r="G391" s="14" t="n">
        <v>46259</v>
      </c>
      <c r="H391" s="9" t="inlineStr">
        <is>
          <t>-</t>
        </is>
      </c>
      <c r="I391" s="17" t="n">
        <v>46266</v>
      </c>
      <c r="J391" s="10" t="inlineStr">
        <is>
          <t>-</t>
        </is>
      </c>
      <c r="K391" s="19" t="n"/>
      <c r="L391" s="11" t="n"/>
      <c r="M391" s="21" t="n"/>
      <c r="N391" s="12" t="inlineStr">
        <is>
          <t>-</t>
        </is>
      </c>
    </row>
    <row r="392" ht="21.75" customHeight="1">
      <c r="A392" s="7" t="inlineStr">
        <is>
          <t>15D11B030</t>
        </is>
      </c>
      <c r="B392" s="8" t="inlineStr">
        <is>
          <t>1174470</t>
        </is>
      </c>
      <c r="C392" s="8" t="inlineStr">
        <is>
          <t>W TASMAN II</t>
        </is>
      </c>
      <c r="D392" s="8" t="inlineStr">
        <is>
          <t>BLK</t>
        </is>
      </c>
      <c r="E392" s="8" t="n">
        <v>176</v>
      </c>
      <c r="F392" s="22" t="n">
        <v>46346</v>
      </c>
      <c r="G392" s="14" t="n">
        <v>46281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inlineStr">
        <is>
          <t>-</t>
        </is>
      </c>
    </row>
    <row r="393" ht="21.75" customHeight="1">
      <c r="A393" s="7" t="inlineStr">
        <is>
          <t>15D11B044</t>
        </is>
      </c>
      <c r="B393" s="8" t="inlineStr">
        <is>
          <t>1174471</t>
        </is>
      </c>
      <c r="C393" s="8" t="inlineStr">
        <is>
          <t>W TAZZ II</t>
        </is>
      </c>
      <c r="D393" s="8" t="inlineStr">
        <is>
          <t>BLK</t>
        </is>
      </c>
      <c r="E393" s="8" t="n">
        <v>270</v>
      </c>
      <c r="F393" s="22" t="n">
        <v>46346</v>
      </c>
      <c r="G393" s="14" t="n">
        <v>46286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inlineStr">
        <is>
          <t>-</t>
        </is>
      </c>
    </row>
    <row r="394" ht="21.75" customHeight="1">
      <c r="A394" s="7" t="inlineStr">
        <is>
          <t>15D11C051</t>
        </is>
      </c>
      <c r="B394" s="8" t="inlineStr">
        <is>
          <t>1175301</t>
        </is>
      </c>
      <c r="C394" s="8" t="inlineStr">
        <is>
          <t>W MINIMEL</t>
        </is>
      </c>
      <c r="D394" s="8" t="inlineStr">
        <is>
          <t>MDSD</t>
        </is>
      </c>
      <c r="E394" s="8" t="n">
        <v>235</v>
      </c>
      <c r="F394" s="22" t="n">
        <v>46349</v>
      </c>
      <c r="G394" s="14" t="n">
        <v>46283</v>
      </c>
      <c r="H394" s="9" t="inlineStr">
        <is>
          <t>-</t>
        </is>
      </c>
      <c r="I394" s="17" t="n"/>
      <c r="J394" s="10" t="n"/>
      <c r="K394" s="19" t="n"/>
      <c r="L394" s="11" t="n"/>
      <c r="M394" s="21" t="n"/>
      <c r="N394" s="12" t="inlineStr">
        <is>
          <t>-</t>
        </is>
      </c>
    </row>
    <row r="395" ht="21.75" customHeight="1">
      <c r="A395" s="7" t="inlineStr">
        <is>
          <t>15D11C009</t>
        </is>
      </c>
      <c r="B395" s="8" t="inlineStr">
        <is>
          <t>1174671</t>
        </is>
      </c>
      <c r="C395" s="8" t="inlineStr">
        <is>
          <t>M TASMAN II</t>
        </is>
      </c>
      <c r="D395" s="8" t="inlineStr">
        <is>
          <t>RCKS</t>
        </is>
      </c>
      <c r="E395" s="8" t="n">
        <v>223</v>
      </c>
      <c r="F395" s="22" t="n">
        <v>46356</v>
      </c>
      <c r="G395" s="14" t="n">
        <v>46276</v>
      </c>
      <c r="H395" s="9" t="n">
        <v>0</v>
      </c>
      <c r="I395" s="17" t="n"/>
      <c r="J395" s="10" t="n"/>
      <c r="K395" s="19" t="n"/>
      <c r="L395" s="11" t="n"/>
      <c r="M395" s="21" t="n"/>
      <c r="N395" s="12" t="n">
        <v>69.02</v>
      </c>
    </row>
    <row r="396" ht="21.75" customHeight="1">
      <c r="A396" s="7" t="inlineStr">
        <is>
          <t>15D11C010</t>
        </is>
      </c>
      <c r="B396" s="8" t="inlineStr">
        <is>
          <t>1175070</t>
        </is>
      </c>
      <c r="C396" s="8" t="inlineStr">
        <is>
          <t>M TASMAN II NUBUCK</t>
        </is>
      </c>
      <c r="D396" s="8" t="inlineStr">
        <is>
          <t>DKC</t>
        </is>
      </c>
      <c r="E396" s="8" t="n">
        <v>197</v>
      </c>
      <c r="F396" s="22" t="n">
        <v>46356</v>
      </c>
      <c r="G396" s="14" t="n">
        <v>46276</v>
      </c>
      <c r="H396" s="9" t="n">
        <v>0</v>
      </c>
      <c r="I396" s="17" t="n"/>
      <c r="J396" s="10" t="n"/>
      <c r="K396" s="19" t="n"/>
      <c r="L396" s="11" t="n"/>
      <c r="M396" s="21" t="n"/>
      <c r="N396" s="12" t="n">
        <v>77.29000000000001</v>
      </c>
    </row>
    <row r="397" ht="21.75" customHeight="1">
      <c r="A397" s="7" t="inlineStr">
        <is>
          <t>15D11C013</t>
        </is>
      </c>
      <c r="B397" s="8" t="inlineStr">
        <is>
          <t>1174671</t>
        </is>
      </c>
      <c r="C397" s="8" t="inlineStr">
        <is>
          <t>M TASMAN II</t>
        </is>
      </c>
      <c r="D397" s="8" t="inlineStr">
        <is>
          <t>RCKS</t>
        </is>
      </c>
      <c r="E397" s="8" t="n">
        <v>213</v>
      </c>
      <c r="F397" s="22" t="n">
        <v>46356</v>
      </c>
      <c r="G397" s="14" t="n">
        <v>46276</v>
      </c>
      <c r="H397" s="9" t="n">
        <v>0</v>
      </c>
      <c r="I397" s="17" t="n"/>
      <c r="J397" s="10" t="n"/>
      <c r="K397" s="19" t="n"/>
      <c r="L397" s="11" t="n"/>
      <c r="M397" s="21" t="n"/>
      <c r="N397" s="12" t="n">
        <v>62.96</v>
      </c>
    </row>
    <row r="398" ht="21.75" customHeight="1">
      <c r="A398" s="7" t="inlineStr">
        <is>
          <t>15D11C014</t>
        </is>
      </c>
      <c r="B398" s="8" t="inlineStr">
        <is>
          <t>1175070</t>
        </is>
      </c>
      <c r="C398" s="8" t="inlineStr">
        <is>
          <t>M TASMAN II NUBUCK</t>
        </is>
      </c>
      <c r="D398" s="8" t="inlineStr">
        <is>
          <t>DKC</t>
        </is>
      </c>
      <c r="E398" s="8" t="n">
        <v>124</v>
      </c>
      <c r="F398" s="22" t="n">
        <v>46356</v>
      </c>
      <c r="G398" s="14" t="n">
        <v>46280</v>
      </c>
      <c r="H398" s="9" t="n">
        <v>0</v>
      </c>
      <c r="I398" s="17" t="n"/>
      <c r="J398" s="10" t="n"/>
      <c r="K398" s="19" t="n"/>
      <c r="L398" s="11" t="n"/>
      <c r="M398" s="21" t="n"/>
      <c r="N398" s="12" t="n">
        <v>23.69</v>
      </c>
    </row>
    <row r="399" ht="21.75" customHeight="1">
      <c r="A399" s="7" t="inlineStr">
        <is>
          <t>15D11C019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DRKS</t>
        </is>
      </c>
      <c r="E399" s="8" t="n">
        <v>116</v>
      </c>
      <c r="F399" s="22" t="n">
        <v>46356</v>
      </c>
      <c r="G399" s="14" t="n">
        <v>46283</v>
      </c>
      <c r="H399" s="9" t="inlineStr">
        <is>
          <t>-</t>
        </is>
      </c>
      <c r="I399" s="17" t="n"/>
      <c r="J399" s="10" t="n"/>
      <c r="K399" s="19" t="n"/>
      <c r="L399" s="11" t="n"/>
      <c r="M399" s="21" t="n"/>
      <c r="N399" s="12" t="inlineStr">
        <is>
          <t>-</t>
        </is>
      </c>
    </row>
    <row r="400" ht="21.75" customHeight="1">
      <c r="A400" s="7" t="inlineStr">
        <is>
          <t>15D11C020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DRKS</t>
        </is>
      </c>
      <c r="E400" s="8" t="n">
        <v>123</v>
      </c>
      <c r="F400" s="22" t="n">
        <v>46356</v>
      </c>
      <c r="G400" s="14" t="n">
        <v>46283</v>
      </c>
      <c r="H400" s="9" t="inlineStr">
        <is>
          <t>-</t>
        </is>
      </c>
      <c r="I400" s="17" t="n"/>
      <c r="J400" s="10" t="n"/>
      <c r="K400" s="19" t="n"/>
      <c r="L400" s="11" t="n"/>
      <c r="M400" s="21" t="n"/>
      <c r="N400" s="12" t="inlineStr">
        <is>
          <t>-</t>
        </is>
      </c>
    </row>
    <row r="401" ht="21.75" customHeight="1">
      <c r="A401" s="7" t="inlineStr">
        <is>
          <t>15D11C021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116</v>
      </c>
      <c r="F401" s="22" t="n">
        <v>46356</v>
      </c>
      <c r="G401" s="14" t="n">
        <v>46280</v>
      </c>
      <c r="H401" s="9" t="inlineStr">
        <is>
          <t>-</t>
        </is>
      </c>
      <c r="I401" s="17" t="n"/>
      <c r="J401" s="10" t="n"/>
      <c r="K401" s="19" t="n"/>
      <c r="L401" s="11" t="n"/>
      <c r="M401" s="21" t="n"/>
      <c r="N401" s="12" t="inlineStr">
        <is>
          <t>-</t>
        </is>
      </c>
    </row>
    <row r="402" ht="21.75" customHeight="1">
      <c r="A402" s="7" t="inlineStr">
        <is>
          <t>15D11C022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114</v>
      </c>
      <c r="F402" s="22" t="n">
        <v>46356</v>
      </c>
      <c r="G402" s="14" t="n">
        <v>46279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inlineStr">
        <is>
          <t>-</t>
        </is>
      </c>
    </row>
    <row r="403" ht="21.75" customHeight="1">
      <c r="A403" s="7" t="inlineStr">
        <is>
          <t>15D11C023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2" t="n">
        <v>46356</v>
      </c>
      <c r="G403" s="14" t="n">
        <v>46279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inlineStr">
        <is>
          <t>-</t>
        </is>
      </c>
    </row>
    <row r="404" ht="21.75" customHeight="1">
      <c r="A404" s="7" t="inlineStr">
        <is>
          <t>15D11C024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2" t="n">
        <v>46356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inlineStr">
        <is>
          <t>-</t>
        </is>
      </c>
    </row>
    <row r="405" ht="21.75" customHeight="1">
      <c r="A405" s="7" t="inlineStr">
        <is>
          <t>15D12A015</t>
        </is>
      </c>
      <c r="B405" s="8" t="inlineStr">
        <is>
          <t>1178876</t>
        </is>
      </c>
      <c r="C405" s="8" t="inlineStr">
        <is>
          <t>W SUNGAZE SLIDE</t>
        </is>
      </c>
      <c r="D405" s="8" t="inlineStr">
        <is>
          <t>DRKS</t>
        </is>
      </c>
      <c r="E405" s="8" t="n">
        <v>4962</v>
      </c>
      <c r="F405" s="22" t="n">
        <v>46363</v>
      </c>
      <c r="G405" s="14" t="n"/>
      <c r="H405" s="9" t="n"/>
      <c r="I405" s="17" t="n"/>
      <c r="J405" s="10" t="n"/>
      <c r="K405" s="19" t="n"/>
      <c r="L405" s="11" t="n"/>
      <c r="M405" s="21" t="n"/>
      <c r="N405" s="12" t="n">
        <v>10.86</v>
      </c>
    </row>
    <row r="406" ht="21.75" customHeight="1">
      <c r="A406" s="7" t="inlineStr">
        <is>
          <t>15D12A018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249</v>
      </c>
      <c r="F406" s="22" t="n">
        <v>46363</v>
      </c>
      <c r="G406" s="14" t="n">
        <v>46279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inlineStr">
        <is>
          <t>-</t>
        </is>
      </c>
    </row>
    <row r="407" ht="21.75" customHeight="1">
      <c r="A407" s="7" t="inlineStr">
        <is>
          <t>15D12A020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184</v>
      </c>
      <c r="F407" s="22" t="n">
        <v>46363</v>
      </c>
      <c r="G407" s="14" t="n">
        <v>46277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inlineStr">
        <is>
          <t>-</t>
        </is>
      </c>
    </row>
    <row r="408" ht="21.75" customHeight="1">
      <c r="A408" s="7" t="inlineStr">
        <is>
          <t>15D12A021</t>
        </is>
      </c>
      <c r="B408" s="8" t="inlineStr">
        <is>
          <t>1174671</t>
        </is>
      </c>
      <c r="C408" s="8" t="inlineStr">
        <is>
          <t>M TASMAN II</t>
        </is>
      </c>
      <c r="D408" s="8" t="inlineStr">
        <is>
          <t>BLTT</t>
        </is>
      </c>
      <c r="E408" s="8" t="n">
        <v>204</v>
      </c>
      <c r="F408" s="22" t="n">
        <v>46363</v>
      </c>
      <c r="G408" s="14" t="n">
        <v>46279</v>
      </c>
      <c r="H408" s="9" t="n">
        <v>0</v>
      </c>
      <c r="I408" s="17" t="n"/>
      <c r="J408" s="10" t="n"/>
      <c r="K408" s="19" t="n"/>
      <c r="L408" s="11" t="n"/>
      <c r="M408" s="21" t="n"/>
      <c r="N408" s="12" t="n">
        <v>114.72</v>
      </c>
    </row>
    <row r="409" ht="21.75" customHeight="1">
      <c r="A409" s="7" t="inlineStr">
        <is>
          <t>15D12A022</t>
        </is>
      </c>
      <c r="B409" s="8" t="inlineStr">
        <is>
          <t>1175070</t>
        </is>
      </c>
      <c r="C409" s="8" t="inlineStr">
        <is>
          <t>M TASMAN II NUBUCK</t>
        </is>
      </c>
      <c r="D409" s="8" t="inlineStr">
        <is>
          <t>DKC</t>
        </is>
      </c>
      <c r="E409" s="8" t="n">
        <v>117</v>
      </c>
      <c r="F409" s="22" t="n">
        <v>46363</v>
      </c>
      <c r="G409" s="14" t="n">
        <v>46281</v>
      </c>
      <c r="H409" s="9" t="n">
        <v>0</v>
      </c>
      <c r="I409" s="17" t="n"/>
      <c r="J409" s="10" t="n"/>
      <c r="K409" s="19" t="n"/>
      <c r="L409" s="11" t="n"/>
      <c r="M409" s="21" t="n"/>
      <c r="N409" s="12" t="n">
        <v>23.69</v>
      </c>
    </row>
    <row r="410" ht="21.75" customHeight="1">
      <c r="A410" s="7" t="inlineStr">
        <is>
          <t>15D12A028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MTR</t>
        </is>
      </c>
      <c r="E410" s="8" t="n">
        <v>154</v>
      </c>
      <c r="F410" s="22" t="n">
        <v>46363</v>
      </c>
      <c r="G410" s="14" t="n">
        <v>46284</v>
      </c>
      <c r="H410" s="9" t="n">
        <v>0</v>
      </c>
      <c r="I410" s="17" t="n"/>
      <c r="J410" s="10" t="n"/>
      <c r="K410" s="19" t="n"/>
      <c r="L410" s="11" t="n"/>
      <c r="M410" s="21" t="n"/>
      <c r="N410" s="12" t="n">
        <v>3.11</v>
      </c>
    </row>
    <row r="411" ht="21.75" customHeight="1">
      <c r="A411" s="7" t="inlineStr">
        <is>
          <t>15D12A042</t>
        </is>
      </c>
      <c r="B411" s="8" t="inlineStr">
        <is>
          <t>1178875</t>
        </is>
      </c>
      <c r="C411" s="8" t="inlineStr">
        <is>
          <t>W SUNGAZE SANDAL</t>
        </is>
      </c>
      <c r="D411" s="8" t="inlineStr">
        <is>
          <t>CHE</t>
        </is>
      </c>
      <c r="E411" s="8" t="n">
        <v>134</v>
      </c>
      <c r="F411" s="22" t="n">
        <v>46363</v>
      </c>
      <c r="G411" s="14" t="n">
        <v>46286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inlineStr">
        <is>
          <t>-</t>
        </is>
      </c>
    </row>
    <row r="412" ht="21.75" customHeight="1">
      <c r="A412" s="7" t="inlineStr">
        <is>
          <t>16D01A020</t>
        </is>
      </c>
      <c r="B412" s="8" t="inlineStr">
        <is>
          <t>1178875</t>
        </is>
      </c>
      <c r="C412" s="8" t="inlineStr">
        <is>
          <t>W SUNGAZE SANDAL</t>
        </is>
      </c>
      <c r="D412" s="8" t="inlineStr">
        <is>
          <t>MTR</t>
        </is>
      </c>
      <c r="E412" s="8" t="n">
        <v>152</v>
      </c>
      <c r="F412" s="22" t="n">
        <v>46391</v>
      </c>
      <c r="G412" s="14" t="n">
        <v>46287</v>
      </c>
      <c r="H412" s="9" t="n">
        <v>0</v>
      </c>
      <c r="I412" s="17" t="n"/>
      <c r="J412" s="10" t="n"/>
      <c r="K412" s="19" t="n"/>
      <c r="L412" s="11" t="n"/>
      <c r="M412" s="21" t="n"/>
      <c r="N412" s="12" t="n">
        <v>0.78</v>
      </c>
    </row>
    <row r="413" ht="21.75" customHeight="1">
      <c r="A413" s="7" t="inlineStr">
        <is>
          <t>16D01A005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112</v>
      </c>
      <c r="F413" s="22" t="n">
        <v>46391</v>
      </c>
      <c r="G413" s="14" t="n">
        <v>46275</v>
      </c>
      <c r="H413" s="9" t="n">
        <v>0</v>
      </c>
      <c r="I413" s="17" t="n"/>
      <c r="J413" s="10" t="n"/>
      <c r="K413" s="19" t="n"/>
      <c r="L413" s="11" t="n"/>
      <c r="M413" s="21" t="n"/>
      <c r="N413" s="12" t="n">
        <v>34.59</v>
      </c>
    </row>
    <row r="414" ht="21.75" customHeight="1">
      <c r="A414" s="7" t="inlineStr">
        <is>
          <t>16D01A008</t>
        </is>
      </c>
      <c r="B414" s="8" t="inlineStr">
        <is>
          <t>1174671</t>
        </is>
      </c>
      <c r="C414" s="8" t="inlineStr">
        <is>
          <t>M TASMAN II</t>
        </is>
      </c>
      <c r="D414" s="8" t="inlineStr">
        <is>
          <t>RCKS</t>
        </is>
      </c>
      <c r="E414" s="8" t="n">
        <v>215</v>
      </c>
      <c r="F414" s="22" t="n">
        <v>46391</v>
      </c>
      <c r="G414" s="14" t="n">
        <v>46275</v>
      </c>
      <c r="H414" s="9" t="n">
        <v>0</v>
      </c>
      <c r="I414" s="17" t="n"/>
      <c r="J414" s="10" t="n"/>
      <c r="K414" s="19" t="n"/>
      <c r="L414" s="11" t="n"/>
      <c r="M414" s="21" t="n"/>
      <c r="N414" s="12" t="n">
        <v>240.08</v>
      </c>
    </row>
    <row r="415" ht="21.75" customHeight="1">
      <c r="A415" s="7" t="inlineStr">
        <is>
          <t>16D01A014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BLK</t>
        </is>
      </c>
      <c r="E415" s="8" t="n">
        <v>115</v>
      </c>
      <c r="F415" s="22" t="n">
        <v>46391</v>
      </c>
      <c r="G415" s="14" t="n">
        <v>46281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inlineStr">
        <is>
          <t>-</t>
        </is>
      </c>
    </row>
    <row r="416" ht="21.75" customHeight="1">
      <c r="A416" s="7" t="inlineStr">
        <is>
          <t>16D01A015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DRKS</t>
        </is>
      </c>
      <c r="E416" s="8" t="n">
        <v>115</v>
      </c>
      <c r="F416" s="22" t="n">
        <v>46391</v>
      </c>
      <c r="G416" s="14" t="n">
        <v>46281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inlineStr">
        <is>
          <t>-</t>
        </is>
      </c>
    </row>
    <row r="417" ht="21.75" customHeight="1">
      <c r="A417" s="7" t="inlineStr">
        <is>
          <t>16D01A019</t>
        </is>
      </c>
      <c r="B417" s="8" t="inlineStr">
        <is>
          <t>1178875</t>
        </is>
      </c>
      <c r="C417" s="8" t="inlineStr">
        <is>
          <t>W SUNGAZE SANDAL</t>
        </is>
      </c>
      <c r="D417" s="8" t="inlineStr">
        <is>
          <t>MTR</t>
        </is>
      </c>
      <c r="E417" s="8" t="n">
        <v>117</v>
      </c>
      <c r="F417" s="22" t="n">
        <v>46391</v>
      </c>
      <c r="G417" s="14" t="n">
        <v>46286</v>
      </c>
      <c r="H417" s="9" t="n">
        <v>0</v>
      </c>
      <c r="I417" s="17" t="n"/>
      <c r="J417" s="10" t="n"/>
      <c r="K417" s="19" t="n"/>
      <c r="L417" s="11" t="n"/>
      <c r="M417" s="21" t="n"/>
      <c r="N417" s="12" t="n">
        <v>0.38</v>
      </c>
    </row>
    <row r="418" ht="21.75" customHeight="1">
      <c r="A418" s="7" t="inlineStr">
        <is>
          <t>16D01A013</t>
        </is>
      </c>
      <c r="B418" s="8" t="inlineStr">
        <is>
          <t>1178875</t>
        </is>
      </c>
      <c r="C418" s="8" t="inlineStr">
        <is>
          <t>W SUNGAZE SANDAL</t>
        </is>
      </c>
      <c r="D418" s="8" t="inlineStr">
        <is>
          <t>DRKS</t>
        </is>
      </c>
      <c r="E418" s="8" t="n">
        <v>157</v>
      </c>
      <c r="F418" s="22" t="n">
        <v>46391</v>
      </c>
      <c r="G418" s="14" t="n">
        <v>46288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inlineStr">
        <is>
          <t>-</t>
        </is>
      </c>
    </row>
    <row r="419" ht="21.75" customHeight="1">
      <c r="A419" s="7" t="inlineStr">
        <is>
          <t>16D01A030</t>
        </is>
      </c>
      <c r="B419" s="8" t="inlineStr">
        <is>
          <t>1178875</t>
        </is>
      </c>
      <c r="C419" s="8" t="inlineStr">
        <is>
          <t>W SUNGAZE SANDAL</t>
        </is>
      </c>
      <c r="D419" s="8" t="inlineStr">
        <is>
          <t>CHE</t>
        </is>
      </c>
      <c r="E419" s="8" t="n">
        <v>114</v>
      </c>
      <c r="F419" s="22" t="n">
        <v>46391</v>
      </c>
      <c r="G419" s="14" t="n">
        <v>46288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inlineStr">
        <is>
          <t>-</t>
        </is>
      </c>
    </row>
    <row r="420" ht="21.75" customHeight="1">
      <c r="A420" s="7" t="inlineStr">
        <is>
          <t>16D01B017</t>
        </is>
      </c>
      <c r="B420" s="8" t="inlineStr">
        <is>
          <t>1180011</t>
        </is>
      </c>
      <c r="C420" s="8" t="inlineStr">
        <is>
          <t>M SUNGAZER</t>
        </is>
      </c>
      <c r="D420" s="8" t="inlineStr">
        <is>
          <t>CHE</t>
        </is>
      </c>
      <c r="E420" s="8" t="n">
        <v>238</v>
      </c>
      <c r="F420" s="22" t="n">
        <v>46398</v>
      </c>
      <c r="G420" s="14" t="n">
        <v>46280</v>
      </c>
      <c r="H420" s="9" t="inlineStr">
        <is>
          <t>-</t>
        </is>
      </c>
      <c r="I420" s="17" t="n"/>
      <c r="J420" s="10" t="n"/>
      <c r="K420" s="19" t="n"/>
      <c r="L420" s="11" t="n"/>
      <c r="M420" s="21" t="n"/>
      <c r="N420" s="12" t="inlineStr">
        <is>
          <t>-</t>
        </is>
      </c>
    </row>
    <row r="421" ht="21.75" customHeight="1">
      <c r="A421" s="7" t="inlineStr">
        <is>
          <t>16D01B019</t>
        </is>
      </c>
      <c r="B421" s="8" t="inlineStr">
        <is>
          <t>1180011</t>
        </is>
      </c>
      <c r="C421" s="8" t="inlineStr">
        <is>
          <t>M SUNGAZER</t>
        </is>
      </c>
      <c r="D421" s="8" t="inlineStr">
        <is>
          <t>GYX</t>
        </is>
      </c>
      <c r="E421" s="8" t="n">
        <v>180</v>
      </c>
      <c r="F421" s="22" t="n">
        <v>46398</v>
      </c>
      <c r="G421" s="14" t="n">
        <v>46279</v>
      </c>
      <c r="H421" s="9" t="inlineStr">
        <is>
          <t>-</t>
        </is>
      </c>
      <c r="I421" s="17" t="n"/>
      <c r="J421" s="10" t="n"/>
      <c r="K421" s="19" t="n"/>
      <c r="L421" s="11" t="n"/>
      <c r="M421" s="21" t="n"/>
      <c r="N421" s="12" t="inlineStr">
        <is>
          <t>-</t>
        </is>
      </c>
    </row>
    <row r="422" ht="21.75" customHeight="1">
      <c r="A422" s="7" t="inlineStr">
        <is>
          <t>16D01B020</t>
        </is>
      </c>
      <c r="B422" s="8" t="inlineStr">
        <is>
          <t>1175070</t>
        </is>
      </c>
      <c r="C422" s="8" t="inlineStr">
        <is>
          <t>M TASMAN II NUBUCK</t>
        </is>
      </c>
      <c r="D422" s="8" t="inlineStr">
        <is>
          <t>DKC</t>
        </is>
      </c>
      <c r="E422" s="8" t="n">
        <v>134</v>
      </c>
      <c r="F422" s="22" t="n">
        <v>46398</v>
      </c>
      <c r="G422" s="14" t="n">
        <v>46281</v>
      </c>
      <c r="H422" s="9" t="n">
        <v>0</v>
      </c>
      <c r="I422" s="17" t="n"/>
      <c r="J422" s="10" t="n"/>
      <c r="K422" s="19" t="n"/>
      <c r="L422" s="11" t="n"/>
      <c r="M422" s="21" t="n"/>
      <c r="N422" s="12" t="n">
        <v>23.69</v>
      </c>
    </row>
    <row r="423" ht="21.75" customHeight="1">
      <c r="A423" s="7" t="inlineStr">
        <is>
          <t>16D01B024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341</v>
      </c>
      <c r="F423" s="22" t="n">
        <v>46398</v>
      </c>
      <c r="G423" s="14" t="n">
        <v>46281</v>
      </c>
      <c r="H423" s="9" t="inlineStr">
        <is>
          <t>-</t>
        </is>
      </c>
      <c r="I423" s="17" t="n"/>
      <c r="J423" s="10" t="n"/>
      <c r="K423" s="19" t="n"/>
      <c r="L423" s="11" t="n"/>
      <c r="M423" s="21" t="n"/>
      <c r="N423" s="12" t="inlineStr">
        <is>
          <t>-</t>
        </is>
      </c>
    </row>
    <row r="424" ht="21.75" customHeight="1">
      <c r="A424" s="7" t="inlineStr">
        <is>
          <t>16D01B023</t>
        </is>
      </c>
      <c r="B424" s="8" t="inlineStr">
        <is>
          <t>1178875</t>
        </is>
      </c>
      <c r="C424" s="8" t="inlineStr">
        <is>
          <t>W SUNGAZE SANDAL</t>
        </is>
      </c>
      <c r="D424" s="8" t="inlineStr">
        <is>
          <t>MTR</t>
        </is>
      </c>
      <c r="E424" s="8" t="n">
        <v>282</v>
      </c>
      <c r="F424" s="22" t="n">
        <v>46398</v>
      </c>
      <c r="G424" s="14" t="n">
        <v>46288</v>
      </c>
      <c r="H424" s="9" t="n">
        <v>0</v>
      </c>
      <c r="I424" s="17" t="n"/>
      <c r="J424" s="10" t="n"/>
      <c r="K424" s="19" t="n"/>
      <c r="L424" s="11" t="n"/>
      <c r="M424" s="21" t="n"/>
      <c r="N424" s="12" t="n">
        <v>1.09</v>
      </c>
    </row>
    <row r="425" ht="21.75" customHeight="1">
      <c r="A425" s="7" t="inlineStr">
        <is>
          <t>16D01B028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248</v>
      </c>
      <c r="F425" s="22" t="n">
        <v>46398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21" t="n"/>
      <c r="N425" s="12" t="inlineStr">
        <is>
          <t>-</t>
        </is>
      </c>
    </row>
    <row r="426" ht="21.75" customHeight="1">
      <c r="A426" s="7" t="inlineStr">
        <is>
          <t>16D01B012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180</v>
      </c>
      <c r="F426" s="22" t="n">
        <v>46406</v>
      </c>
      <c r="G426" s="14" t="n">
        <v>46281</v>
      </c>
      <c r="H426" s="9" t="inlineStr">
        <is>
          <t>-</t>
        </is>
      </c>
      <c r="I426" s="17" t="n"/>
      <c r="J426" s="10" t="n"/>
      <c r="K426" s="19" t="n"/>
      <c r="L426" s="11" t="n"/>
      <c r="M426" s="21" t="n"/>
      <c r="N426" s="12" t="inlineStr">
        <is>
          <t>-</t>
        </is>
      </c>
    </row>
    <row r="427" ht="21.75" customHeight="1">
      <c r="A427" s="7" t="inlineStr">
        <is>
          <t>16D01B013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CHE</t>
        </is>
      </c>
      <c r="E427" s="8" t="n">
        <v>228</v>
      </c>
      <c r="F427" s="22" t="n">
        <v>46406</v>
      </c>
      <c r="G427" s="14" t="n">
        <v>46281</v>
      </c>
      <c r="H427" s="9" t="inlineStr">
        <is>
          <t>-</t>
        </is>
      </c>
      <c r="I427" s="17" t="n"/>
      <c r="J427" s="10" t="n"/>
      <c r="K427" s="19" t="n"/>
      <c r="L427" s="11" t="n"/>
      <c r="M427" s="21" t="n"/>
      <c r="N427" s="12" t="inlineStr">
        <is>
          <t>-</t>
        </is>
      </c>
    </row>
    <row r="428" ht="21.75" customHeight="1">
      <c r="A428" s="7" t="inlineStr">
        <is>
          <t>16D01B014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BLK</t>
        </is>
      </c>
      <c r="E428" s="8" t="n">
        <v>222</v>
      </c>
      <c r="F428" s="22" t="n">
        <v>46406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21" t="n"/>
      <c r="N428" s="12" t="inlineStr">
        <is>
          <t>-</t>
        </is>
      </c>
    </row>
    <row r="429" ht="21.75" customHeight="1">
      <c r="A429" s="7" t="inlineStr">
        <is>
          <t>16D01B015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CHE</t>
        </is>
      </c>
      <c r="E429" s="8" t="n">
        <v>276</v>
      </c>
      <c r="F429" s="22" t="n">
        <v>46406</v>
      </c>
      <c r="G429" s="14" t="n">
        <v>46282</v>
      </c>
      <c r="H429" s="9" t="inlineStr">
        <is>
          <t>-</t>
        </is>
      </c>
      <c r="I429" s="17" t="n"/>
      <c r="J429" s="10" t="n"/>
      <c r="K429" s="19" t="n"/>
      <c r="L429" s="11" t="n"/>
      <c r="M429" s="21" t="n"/>
      <c r="N429" s="12" t="inlineStr">
        <is>
          <t>-</t>
        </is>
      </c>
    </row>
    <row r="430" ht="21.75" customHeight="1">
      <c r="A430" s="7" t="inlineStr">
        <is>
          <t>16D02A017</t>
        </is>
      </c>
      <c r="B430" s="8" t="inlineStr">
        <is>
          <t>1178876</t>
        </is>
      </c>
      <c r="C430" s="8" t="inlineStr">
        <is>
          <t>W SUNGAZE SLIDE</t>
        </is>
      </c>
      <c r="D430" s="8" t="inlineStr">
        <is>
          <t>DRKS</t>
        </is>
      </c>
      <c r="E430" s="8" t="n">
        <v>143</v>
      </c>
      <c r="F430" s="22" t="n">
        <v>46419</v>
      </c>
      <c r="G430" s="14" t="n">
        <v>46287</v>
      </c>
      <c r="H430" s="9" t="inlineStr">
        <is>
          <t>-</t>
        </is>
      </c>
      <c r="I430" s="17" t="n"/>
      <c r="J430" s="10" t="n"/>
      <c r="K430" s="19" t="n"/>
      <c r="L430" s="11" t="n"/>
      <c r="M430" s="21" t="n"/>
      <c r="N430" s="12" t="inlineStr">
        <is>
          <t>-</t>
        </is>
      </c>
    </row>
    <row r="431" ht="21.75" customHeight="1">
      <c r="A431" s="7" t="inlineStr">
        <is>
          <t>16D02A012</t>
        </is>
      </c>
      <c r="B431" s="8" t="inlineStr">
        <is>
          <t>1174671</t>
        </is>
      </c>
      <c r="C431" s="8" t="inlineStr">
        <is>
          <t>M TASMAN II</t>
        </is>
      </c>
      <c r="D431" s="8" t="inlineStr">
        <is>
          <t>RCKS</t>
        </is>
      </c>
      <c r="E431" s="8" t="n">
        <v>214</v>
      </c>
      <c r="F431" s="22" t="n">
        <v>46419</v>
      </c>
      <c r="G431" s="14" t="n">
        <v>46276</v>
      </c>
      <c r="H431" s="9" t="n">
        <v>0</v>
      </c>
      <c r="I431" s="17" t="n"/>
      <c r="J431" s="10" t="n"/>
      <c r="K431" s="19" t="n"/>
      <c r="L431" s="11" t="n"/>
      <c r="M431" s="21" t="n"/>
      <c r="N431" s="12" t="n">
        <v>62.83</v>
      </c>
    </row>
    <row r="432" ht="21.75" customHeight="1">
      <c r="A432" s="7" t="inlineStr">
        <is>
          <t>16D02A018</t>
        </is>
      </c>
      <c r="B432" s="8" t="inlineStr">
        <is>
          <t>1178876</t>
        </is>
      </c>
      <c r="C432" s="8" t="inlineStr">
        <is>
          <t>W SUNGAZE SLIDE</t>
        </is>
      </c>
      <c r="D432" s="8" t="inlineStr">
        <is>
          <t>BLK</t>
        </is>
      </c>
      <c r="E432" s="8" t="n">
        <v>135</v>
      </c>
      <c r="F432" s="22" t="n">
        <v>46419</v>
      </c>
      <c r="G432" s="14" t="n">
        <v>46282</v>
      </c>
      <c r="H432" s="9" t="inlineStr">
        <is>
          <t>-</t>
        </is>
      </c>
      <c r="I432" s="17" t="n"/>
      <c r="J432" s="10" t="n"/>
      <c r="K432" s="19" t="n"/>
      <c r="L432" s="11" t="n"/>
      <c r="M432" s="21" t="n"/>
      <c r="N432" s="12" t="inlineStr">
        <is>
          <t>-</t>
        </is>
      </c>
    </row>
    <row r="433" ht="21.75" customHeight="1">
      <c r="A433" s="7" t="inlineStr">
        <is>
          <t>16D02A019</t>
        </is>
      </c>
      <c r="B433" s="8" t="inlineStr">
        <is>
          <t>1178876</t>
        </is>
      </c>
      <c r="C433" s="8" t="inlineStr">
        <is>
          <t>W SUNGAZE SLIDE</t>
        </is>
      </c>
      <c r="D433" s="8" t="inlineStr">
        <is>
          <t>DRKS</t>
        </is>
      </c>
      <c r="E433" s="8" t="n">
        <v>123</v>
      </c>
      <c r="F433" s="22" t="n">
        <v>46419</v>
      </c>
      <c r="G433" s="14" t="n">
        <v>46282</v>
      </c>
      <c r="H433" s="9" t="inlineStr">
        <is>
          <t>-</t>
        </is>
      </c>
      <c r="I433" s="17" t="n"/>
      <c r="J433" s="10" t="n"/>
      <c r="K433" s="19" t="n"/>
      <c r="L433" s="11" t="n"/>
      <c r="M433" s="21" t="n"/>
      <c r="N433" s="12" t="inlineStr">
        <is>
          <t>-</t>
        </is>
      </c>
    </row>
    <row r="434" ht="21.75" customHeight="1">
      <c r="A434" s="7" t="inlineStr">
        <is>
          <t>16D02A039</t>
        </is>
      </c>
      <c r="B434" s="8" t="inlineStr">
        <is>
          <t>1178875</t>
        </is>
      </c>
      <c r="C434" s="8" t="inlineStr">
        <is>
          <t>W SUNGAZE SANDAL</t>
        </is>
      </c>
      <c r="D434" s="8" t="inlineStr">
        <is>
          <t>CHE</t>
        </is>
      </c>
      <c r="E434" s="8" t="n">
        <v>118</v>
      </c>
      <c r="F434" s="22" t="n">
        <v>46419</v>
      </c>
      <c r="G434" s="14" t="n">
        <v>46288</v>
      </c>
      <c r="H434" s="9" t="inlineStr">
        <is>
          <t>-</t>
        </is>
      </c>
      <c r="I434" s="17" t="n"/>
      <c r="J434" s="10" t="n"/>
      <c r="K434" s="19" t="n"/>
      <c r="L434" s="11" t="n"/>
      <c r="M434" s="21" t="n"/>
      <c r="N434" s="12" t="inlineStr">
        <is>
          <t>-</t>
        </is>
      </c>
    </row>
    <row r="435" ht="21.75" customHeight="1">
      <c r="A435" s="7" t="inlineStr">
        <is>
          <t>16D02A015</t>
        </is>
      </c>
      <c r="B435" s="8" t="inlineStr">
        <is>
          <t>1178875</t>
        </is>
      </c>
      <c r="C435" s="8" t="inlineStr">
        <is>
          <t>W SUNGAZE SANDAL</t>
        </is>
      </c>
      <c r="D435" s="8" t="inlineStr">
        <is>
          <t>DRKS</t>
        </is>
      </c>
      <c r="E435" s="8" t="n">
        <v>168</v>
      </c>
      <c r="F435" s="22" t="n">
        <v>46419</v>
      </c>
      <c r="G435" s="14" t="n">
        <v>46290</v>
      </c>
      <c r="H435" s="9" t="inlineStr">
        <is>
          <t>-</t>
        </is>
      </c>
      <c r="I435" s="17" t="n"/>
      <c r="J435" s="10" t="n"/>
      <c r="K435" s="19" t="n"/>
      <c r="L435" s="11" t="n"/>
      <c r="M435" s="21" t="n"/>
      <c r="N435" s="12" t="inlineStr">
        <is>
          <t>-</t>
        </is>
      </c>
    </row>
    <row r="436" ht="21.75" customHeight="1">
      <c r="A436" s="7" t="inlineStr">
        <is>
          <t>16D02A036</t>
        </is>
      </c>
      <c r="B436" s="8" t="inlineStr">
        <is>
          <t>1187973</t>
        </is>
      </c>
      <c r="C436" s="8" t="inlineStr">
        <is>
          <t>W TASMAN SIGNATURE</t>
        </is>
      </c>
      <c r="D436" s="8" t="inlineStr">
        <is>
          <t>DRKS</t>
        </is>
      </c>
      <c r="E436" s="8" t="n">
        <v>189</v>
      </c>
      <c r="F436" s="22" t="n">
        <v>46419</v>
      </c>
      <c r="G436" s="14" t="n">
        <v>46290</v>
      </c>
      <c r="H436" s="9" t="inlineStr">
        <is>
          <t>-</t>
        </is>
      </c>
      <c r="I436" s="17" t="n"/>
      <c r="J436" s="10" t="n"/>
      <c r="K436" s="19" t="n"/>
      <c r="L436" s="11" t="n"/>
      <c r="M436" s="21" t="n"/>
      <c r="N436" s="12" t="inlineStr">
        <is>
          <t>-</t>
        </is>
      </c>
    </row>
    <row r="437" ht="21.75" customHeight="1">
      <c r="A437" s="7" t="inlineStr">
        <is>
          <t>16D02A027</t>
        </is>
      </c>
      <c r="B437" s="8" t="inlineStr">
        <is>
          <t>1178876</t>
        </is>
      </c>
      <c r="C437" s="8" t="inlineStr">
        <is>
          <t>W SUNGAZE SLIDE</t>
        </is>
      </c>
      <c r="D437" s="8" t="inlineStr">
        <is>
          <t>BLK</t>
        </is>
      </c>
      <c r="E437" s="8" t="n">
        <v>377</v>
      </c>
      <c r="F437" s="22" t="n">
        <v>46426</v>
      </c>
      <c r="G437" s="14" t="n">
        <v>46286</v>
      </c>
      <c r="H437" s="9" t="inlineStr">
        <is>
          <t>-</t>
        </is>
      </c>
      <c r="I437" s="17" t="n"/>
      <c r="J437" s="10" t="n"/>
      <c r="K437" s="19" t="n"/>
      <c r="L437" s="11" t="n"/>
      <c r="M437" s="21" t="n"/>
      <c r="N437" s="12" t="inlineStr">
        <is>
          <t>-</t>
        </is>
      </c>
    </row>
    <row r="438" ht="21.75" customHeight="1">
      <c r="A438" s="7" t="inlineStr">
        <is>
          <t>16D02A026</t>
        </is>
      </c>
      <c r="B438" s="8" t="inlineStr">
        <is>
          <t>1178875</t>
        </is>
      </c>
      <c r="C438" s="8" t="inlineStr">
        <is>
          <t>W SUNGAZE SANDAL</t>
        </is>
      </c>
      <c r="D438" s="8" t="inlineStr">
        <is>
          <t>MTR</t>
        </is>
      </c>
      <c r="E438" s="8" t="n">
        <v>311</v>
      </c>
      <c r="F438" s="22" t="n">
        <v>46426</v>
      </c>
      <c r="G438" s="14" t="n">
        <v>46290</v>
      </c>
      <c r="H438" s="9" t="n">
        <v>1.22</v>
      </c>
      <c r="I438" s="17" t="n"/>
      <c r="J438" s="10" t="n"/>
      <c r="K438" s="19" t="n"/>
      <c r="L438" s="11" t="n"/>
      <c r="M438" s="21" t="n"/>
      <c r="N438" s="12" t="n">
        <v>1.22</v>
      </c>
    </row>
    <row r="439" ht="21.75" customHeight="1">
      <c r="A439" s="7" t="inlineStr">
        <is>
          <t>16D03A009</t>
        </is>
      </c>
      <c r="B439" s="8" t="inlineStr">
        <is>
          <t>1178876</t>
        </is>
      </c>
      <c r="C439" s="8" t="inlineStr">
        <is>
          <t>W SUNGAZE SLIDE</t>
        </is>
      </c>
      <c r="D439" s="8" t="inlineStr">
        <is>
          <t>BLK</t>
        </is>
      </c>
      <c r="E439" s="8" t="n">
        <v>141</v>
      </c>
      <c r="F439" s="22" t="n">
        <v>46447</v>
      </c>
      <c r="G439" s="14" t="n">
        <v>46287</v>
      </c>
      <c r="H439" s="9" t="inlineStr">
        <is>
          <t>-</t>
        </is>
      </c>
      <c r="I439" s="17" t="n"/>
      <c r="J439" s="10" t="n"/>
      <c r="K439" s="19" t="n"/>
      <c r="L439" s="11" t="n"/>
      <c r="M439" s="21" t="n"/>
      <c r="N439" s="12" t="inlineStr">
        <is>
          <t>-</t>
        </is>
      </c>
    </row>
    <row r="440" ht="21.75" customHeight="1">
      <c r="A440" s="7" t="inlineStr">
        <is>
          <t>16D03A010</t>
        </is>
      </c>
      <c r="B440" s="8" t="inlineStr">
        <is>
          <t>1178876</t>
        </is>
      </c>
      <c r="C440" s="8" t="inlineStr">
        <is>
          <t>W SUNGAZE SLIDE</t>
        </is>
      </c>
      <c r="D440" s="8" t="inlineStr">
        <is>
          <t>DRKS</t>
        </is>
      </c>
      <c r="E440" s="8" t="n">
        <v>115</v>
      </c>
      <c r="F440" s="22" t="n">
        <v>46447</v>
      </c>
      <c r="G440" s="14" t="n">
        <v>46282</v>
      </c>
      <c r="H440" s="9" t="inlineStr">
        <is>
          <t>-</t>
        </is>
      </c>
      <c r="I440" s="17" t="n"/>
      <c r="J440" s="10" t="n"/>
      <c r="K440" s="19" t="n"/>
      <c r="L440" s="11" t="n"/>
      <c r="M440" s="21" t="n"/>
      <c r="N440" s="12" t="inlineStr">
        <is>
          <t>-</t>
        </is>
      </c>
    </row>
    <row r="441" ht="21.75" customHeight="1">
      <c r="A441" s="7" t="inlineStr">
        <is>
          <t>16D03A008</t>
        </is>
      </c>
      <c r="B441" s="8" t="inlineStr">
        <is>
          <t>1178875</t>
        </is>
      </c>
      <c r="C441" s="8" t="inlineStr">
        <is>
          <t>W SUNGAZE SANDAL</t>
        </is>
      </c>
      <c r="D441" s="8" t="inlineStr">
        <is>
          <t>DRKS</t>
        </is>
      </c>
      <c r="E441" s="8" t="n">
        <v>146</v>
      </c>
      <c r="F441" s="22" t="n">
        <v>46447</v>
      </c>
      <c r="G441" s="14" t="n">
        <v>46290</v>
      </c>
      <c r="H441" s="9" t="inlineStr">
        <is>
          <t>-</t>
        </is>
      </c>
      <c r="I441" s="17" t="n"/>
      <c r="J441" s="10" t="n"/>
      <c r="K441" s="19" t="n"/>
      <c r="L441" s="11" t="n"/>
      <c r="M441" s="21" t="n"/>
      <c r="N441" s="12" t="inlineStr">
        <is>
          <t>-</t>
        </is>
      </c>
    </row>
    <row r="442" ht="21.75" customHeight="1">
      <c r="A442" s="7" t="inlineStr">
        <is>
          <t>16D03A025</t>
        </is>
      </c>
      <c r="B442" s="8" t="inlineStr">
        <is>
          <t>1178875</t>
        </is>
      </c>
      <c r="C442" s="8" t="inlineStr">
        <is>
          <t>W SUNGAZE SANDAL</t>
        </is>
      </c>
      <c r="D442" s="8" t="inlineStr">
        <is>
          <t>CHE</t>
        </is>
      </c>
      <c r="E442" s="8" t="n">
        <v>113</v>
      </c>
      <c r="F442" s="22" t="n">
        <v>46447</v>
      </c>
      <c r="G442" s="14" t="n">
        <v>46290</v>
      </c>
      <c r="H442" s="9" t="inlineStr">
        <is>
          <t>-</t>
        </is>
      </c>
      <c r="I442" s="17" t="n"/>
      <c r="J442" s="10" t="n"/>
      <c r="K442" s="19" t="n"/>
      <c r="L442" s="11" t="n"/>
      <c r="M442" s="21" t="n"/>
      <c r="N442" s="12" t="inlineStr">
        <is>
          <t>-</t>
        </is>
      </c>
    </row>
    <row r="443" ht="21.75" customHeight="1">
      <c r="A443" s="7" t="inlineStr">
        <is>
          <t>16D03A017</t>
        </is>
      </c>
      <c r="B443" s="8" t="inlineStr">
        <is>
          <t>1178876</t>
        </is>
      </c>
      <c r="C443" s="8" t="inlineStr">
        <is>
          <t>W SUNGAZE SLIDE</t>
        </is>
      </c>
      <c r="D443" s="8" t="inlineStr">
        <is>
          <t>BLK</t>
        </is>
      </c>
      <c r="E443" s="8" t="n">
        <v>297</v>
      </c>
      <c r="F443" s="22" t="n">
        <v>46454</v>
      </c>
      <c r="G443" s="14" t="n">
        <v>46287</v>
      </c>
      <c r="H443" s="9" t="inlineStr">
        <is>
          <t>-</t>
        </is>
      </c>
      <c r="I443" s="17" t="n"/>
      <c r="J443" s="10" t="n"/>
      <c r="K443" s="19" t="n"/>
      <c r="L443" s="11" t="n"/>
      <c r="M443" s="21" t="n"/>
      <c r="N443" s="12" t="inlineStr">
        <is>
          <t>-</t>
        </is>
      </c>
    </row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F14" sqref="F14"/>
    </sheetView>
  </sheetViews>
  <sheetFormatPr baseColWidth="8" defaultRowHeight="23.25" customHeight="1"/>
  <cols>
    <col width="12" customWidth="1" style="1" min="1" max="1"/>
    <col width="14" customWidth="1" style="1" min="2" max="2"/>
    <col width="14" customWidth="1" min="3" max="4"/>
    <col width="14" customWidth="1" style="38" min="5" max="5"/>
    <col width="14" customWidth="1" min="6" max="7"/>
    <col width="16.5" customWidth="1" style="36" min="8" max="8"/>
    <col width="9" customWidth="1" style="23" min="9" max="10"/>
    <col width="9" customWidth="1" style="23" min="11" max="16384"/>
  </cols>
  <sheetData>
    <row r="1" ht="21.75" customHeight="1" thickBot="1">
      <c r="A1" s="37" t="inlineStr">
        <is>
          <t>月份</t>
        </is>
      </c>
      <c r="B1" s="37" t="inlineStr">
        <is>
          <t>超料总额</t>
        </is>
      </c>
      <c r="C1" s="37" t="inlineStr">
        <is>
          <t>大小码金额</t>
        </is>
      </c>
      <c r="D1" s="37" t="inlineStr">
        <is>
          <t>责任总额</t>
        </is>
      </c>
      <c r="E1" s="39" t="inlineStr">
        <is>
          <t>生产数量</t>
        </is>
      </c>
      <c r="F1" s="24" t="inlineStr">
        <is>
          <t>平均单价</t>
        </is>
      </c>
      <c r="G1" s="24" t="inlineStr">
        <is>
          <t>营业收入</t>
        </is>
      </c>
      <c r="H1" s="33" t="inlineStr">
        <is>
          <t>超料材料占比</t>
        </is>
      </c>
    </row>
    <row r="2" ht="21.75" customHeight="1">
      <c r="A2" s="7" t="inlineStr">
        <is>
          <t>2026-01</t>
        </is>
      </c>
      <c r="B2" s="9" t="n">
        <v>94490.55</v>
      </c>
      <c r="C2" s="9" t="n">
        <v>6825.42</v>
      </c>
      <c r="D2" s="9" t="n">
        <v>87665.13</v>
      </c>
      <c r="E2" s="40" t="n">
        <v>200869</v>
      </c>
      <c r="F2" s="27" t="n">
        <v>18</v>
      </c>
      <c r="G2" s="25">
        <f>E2*F2</f>
        <v/>
      </c>
      <c r="H2" s="34">
        <f>B2/G2</f>
        <v/>
      </c>
    </row>
    <row r="3" ht="21.75" customHeight="1">
      <c r="A3" s="7" t="inlineStr">
        <is>
          <t>2026-02</t>
        </is>
      </c>
      <c r="B3" s="9" t="n">
        <v>89687.39999999999</v>
      </c>
      <c r="C3" s="9" t="n">
        <v>12077.41</v>
      </c>
      <c r="D3" s="9" t="n">
        <v>77609.99000000001</v>
      </c>
      <c r="E3" s="41" t="n">
        <v>182237</v>
      </c>
      <c r="F3" s="28" t="n">
        <v>18.72</v>
      </c>
      <c r="G3" s="26">
        <f>E3*F3</f>
        <v/>
      </c>
      <c r="H3" s="35">
        <f>B3/G3</f>
        <v/>
      </c>
    </row>
    <row r="4" ht="21.75" customHeight="1">
      <c r="A4" s="7" t="inlineStr">
        <is>
          <t>2026-03</t>
        </is>
      </c>
      <c r="B4" s="9" t="n">
        <v>122741.6</v>
      </c>
      <c r="C4" s="9" t="n">
        <v>15274.89</v>
      </c>
      <c r="D4" s="9" t="n">
        <v>107466.71</v>
      </c>
      <c r="E4" s="41" t="n">
        <v>212702</v>
      </c>
      <c r="F4" s="28" t="n">
        <v>18.03</v>
      </c>
      <c r="G4" s="26">
        <f>E4*F4</f>
        <v/>
      </c>
      <c r="H4" s="35">
        <f>B4/G4</f>
        <v/>
      </c>
    </row>
    <row r="5" ht="21.75" customHeight="1">
      <c r="A5" s="7" t="inlineStr">
        <is>
          <t>2026-04</t>
        </is>
      </c>
      <c r="B5" s="9" t="n">
        <v>104995.57</v>
      </c>
      <c r="C5" s="9" t="n">
        <v>21856.29</v>
      </c>
      <c r="D5" s="9" t="n">
        <v>83139.28</v>
      </c>
      <c r="E5" s="41" t="n">
        <v>187420</v>
      </c>
      <c r="F5" s="28" t="n">
        <v>17.62</v>
      </c>
      <c r="G5" s="26">
        <f>E5*F5</f>
        <v/>
      </c>
      <c r="H5" s="35">
        <f>B5/G5</f>
        <v/>
      </c>
    </row>
    <row r="6" ht="21.75" customHeight="1">
      <c r="A6" s="7" t="inlineStr">
        <is>
          <t>2026-05</t>
        </is>
      </c>
      <c r="B6" s="9" t="n">
        <v>167413.29</v>
      </c>
      <c r="C6" s="9" t="n">
        <v>28928.06</v>
      </c>
      <c r="D6" s="9" t="n">
        <v>138485.23</v>
      </c>
      <c r="E6" s="41" t="n">
        <v>270181</v>
      </c>
      <c r="F6" s="28" t="n">
        <v>18.16</v>
      </c>
      <c r="G6" s="26">
        <f>E6*F6</f>
        <v/>
      </c>
      <c r="H6" s="35">
        <f>B6/G6</f>
        <v/>
      </c>
    </row>
    <row r="7" ht="21.75" customHeight="1">
      <c r="A7" s="7" t="inlineStr">
        <is>
          <t>2026-06</t>
        </is>
      </c>
      <c r="B7" s="9" t="n">
        <v>179116.67</v>
      </c>
      <c r="C7" s="9" t="n">
        <v>21803.14</v>
      </c>
      <c r="D7" s="9" t="n">
        <v>157313.53</v>
      </c>
      <c r="E7" s="41" t="n">
        <v>350011</v>
      </c>
      <c r="F7" s="28" t="n">
        <v>19.01</v>
      </c>
      <c r="G7" s="26">
        <f>E7*F7</f>
        <v/>
      </c>
      <c r="H7" s="35">
        <f>B7/G7</f>
        <v/>
      </c>
    </row>
    <row r="8" ht="23.25" customHeight="1">
      <c r="A8" s="7" t="inlineStr">
        <is>
          <t>2026-07</t>
        </is>
      </c>
      <c r="B8" s="9" t="n">
        <v>217992.67</v>
      </c>
      <c r="C8" s="9" t="n">
        <v>21894.37</v>
      </c>
      <c r="D8" s="9" t="n">
        <v>196098.3</v>
      </c>
      <c r="E8" s="41" t="n">
        <v>360359</v>
      </c>
      <c r="F8" s="28" t="n">
        <v>19.86</v>
      </c>
      <c r="G8" s="26">
        <f>E8*F8</f>
        <v/>
      </c>
      <c r="H8" s="35">
        <f>B8/G8</f>
        <v/>
      </c>
    </row>
    <row r="9" ht="23.25" customHeight="1">
      <c r="A9" s="7" t="inlineStr">
        <is>
          <t>2026-08</t>
        </is>
      </c>
      <c r="B9" s="9" t="n">
        <v>136090.12</v>
      </c>
      <c r="C9" s="9" t="n">
        <v>8497.719999999999</v>
      </c>
      <c r="D9" s="9" t="n">
        <v>127592.4</v>
      </c>
      <c r="E9" s="41" t="n">
        <v>359429</v>
      </c>
      <c r="F9" s="28" t="n">
        <v>20</v>
      </c>
      <c r="G9" s="26">
        <f>E9*F9</f>
        <v/>
      </c>
      <c r="H9" s="35">
        <f>B9/G9</f>
        <v/>
      </c>
    </row>
    <row r="10" ht="23.25" customHeight="1">
      <c r="A10" s="7" t="inlineStr">
        <is>
          <t>2026-09</t>
        </is>
      </c>
      <c r="B10" s="9" t="n">
        <v>59295.87</v>
      </c>
      <c r="C10" s="9" t="n">
        <v>9051.389999999999</v>
      </c>
      <c r="D10" s="9" t="n">
        <v>50244.48</v>
      </c>
      <c r="E10" s="41" t="n">
        <v>198336</v>
      </c>
      <c r="F10" s="28" t="n">
        <v>20</v>
      </c>
      <c r="G10" s="26">
        <f>E10*F10</f>
        <v/>
      </c>
      <c r="H10" s="35">
        <f>B10/G10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2026-09-26T02:56:09Z</dcterms:modified>
  <cp:lastModifiedBy>jackie lee</cp:lastModifiedBy>
  <cp:lastPrinted>2026-09-25T06:09:29Z</cp:lastPrinted>
</cp:coreProperties>
</file>